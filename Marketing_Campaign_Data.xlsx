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644" activeTab="4"/>
  </bookViews>
  <sheets>
    <sheet name="original data" sheetId="7" r:id="rId1"/>
    <sheet name="calacuation" sheetId="8" r:id="rId2"/>
    <sheet name="Camaign meta" sheetId="9" r:id="rId3"/>
    <sheet name="campaign performance" sheetId="10" r:id="rId4"/>
    <sheet name="Sheet1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<sst xmlns="http://schemas.openxmlformats.org/spreadsheetml/2006/main" count="8596" uniqueCount="1688">
  <si>
    <t>Date</t>
  </si>
  <si>
    <t>CampaignID</t>
  </si>
  <si>
    <t>CampaignName</t>
  </si>
  <si>
    <t>Platform</t>
  </si>
  <si>
    <t>TargetAudience</t>
  </si>
  <si>
    <t>Impressions</t>
  </si>
  <si>
    <t>Clicks</t>
  </si>
  <si>
    <t>Leads</t>
  </si>
  <si>
    <t>Applications</t>
  </si>
  <si>
    <t>Enrollments</t>
  </si>
  <si>
    <t>Cost (?)</t>
  </si>
  <si>
    <t>Revenue (?)</t>
  </si>
  <si>
    <t>Region</t>
  </si>
  <si>
    <t>AD004</t>
  </si>
  <si>
    <t>Hackathon</t>
  </si>
  <si>
    <t>YouTube</t>
  </si>
  <si>
    <t>1721 Age</t>
  </si>
  <si>
    <t>? 275,458</t>
  </si>
  <si>
    <t>? 4,615,838</t>
  </si>
  <si>
    <t>West India</t>
  </si>
  <si>
    <t>? 133,026</t>
  </si>
  <si>
    <t>? 3,513,170</t>
  </si>
  <si>
    <t>North India</t>
  </si>
  <si>
    <t>? 135,766</t>
  </si>
  <si>
    <t>? 1,051,925</t>
  </si>
  <si>
    <t>2227 Age</t>
  </si>
  <si>
    <t>? 229,715</t>
  </si>
  <si>
    <t>? 3,850,640</t>
  </si>
  <si>
    <t>2535 Age</t>
  </si>
  <si>
    <t>? 52,361</t>
  </si>
  <si>
    <t>? 1,543,263</t>
  </si>
  <si>
    <t>? 27,454</t>
  </si>
  <si>
    <t>? 1,717,164</t>
  </si>
  <si>
    <t>? 95,498</t>
  </si>
  <si>
    <t>? 2,598,808</t>
  </si>
  <si>
    <t>East India</t>
  </si>
  <si>
    <t>? 175,649</t>
  </si>
  <si>
    <t>? 2,558,956</t>
  </si>
  <si>
    <t>? 126,724</t>
  </si>
  <si>
    <t>? 4,265,725</t>
  </si>
  <si>
    <t>? 49,446</t>
  </si>
  <si>
    <t>? 3,012,430</t>
  </si>
  <si>
    <t>? 104,177</t>
  </si>
  <si>
    <t>? 1,723,114</t>
  </si>
  <si>
    <t>? 102,314</t>
  </si>
  <si>
    <t>? 3,080,880</t>
  </si>
  <si>
    <t>Pan India</t>
  </si>
  <si>
    <t>? 51,284</t>
  </si>
  <si>
    <t>? 1,495,426</t>
  </si>
  <si>
    <t>? 60,478</t>
  </si>
  <si>
    <t>? 2,107,164</t>
  </si>
  <si>
    <t>? 47,008</t>
  </si>
  <si>
    <t>? 2,174,798</t>
  </si>
  <si>
    <t>South India</t>
  </si>
  <si>
    <t>? 118,804</t>
  </si>
  <si>
    <t>? 3,598,638</t>
  </si>
  <si>
    <t>? 65,232</t>
  </si>
  <si>
    <t>? 1,540,858</t>
  </si>
  <si>
    <t>? 29,838</t>
  </si>
  <si>
    <t>? 1,134,935</t>
  </si>
  <si>
    <t>? 134,778</t>
  </si>
  <si>
    <t>? 2,166,219</t>
  </si>
  <si>
    <t>? 51,435</t>
  </si>
  <si>
    <t>? 2,739,138</t>
  </si>
  <si>
    <t>? 39,929</t>
  </si>
  <si>
    <t>? 2,041,494</t>
  </si>
  <si>
    <t>? 65,158</t>
  </si>
  <si>
    <t>? 2,707,317</t>
  </si>
  <si>
    <t>? 50,618</t>
  </si>
  <si>
    <t>? 1,332,251</t>
  </si>
  <si>
    <t>? 116,682</t>
  </si>
  <si>
    <t>? 4,318,919</t>
  </si>
  <si>
    <t>? 166,206</t>
  </si>
  <si>
    <t>? 4,449,883</t>
  </si>
  <si>
    <t>? 178,964</t>
  </si>
  <si>
    <t>? 2,959,112</t>
  </si>
  <si>
    <t>? 288,391</t>
  </si>
  <si>
    <t>? 6,571,499</t>
  </si>
  <si>
    <t>? 258,351</t>
  </si>
  <si>
    <t>? 2,606,825</t>
  </si>
  <si>
    <t>? 195,337</t>
  </si>
  <si>
    <t>? 2,170,311</t>
  </si>
  <si>
    <t>? 157,518</t>
  </si>
  <si>
    <t>? 4,429,720</t>
  </si>
  <si>
    <t>? 212,839</t>
  </si>
  <si>
    <t>? 3,579,678</t>
  </si>
  <si>
    <t>? 108,988</t>
  </si>
  <si>
    <t>? 2,698,692</t>
  </si>
  <si>
    <t>? 39,467</t>
  </si>
  <si>
    <t>? 1,069,478</t>
  </si>
  <si>
    <t>? 53,821</t>
  </si>
  <si>
    <t>? 868,490</t>
  </si>
  <si>
    <t>? 123,903</t>
  </si>
  <si>
    <t>? 5,851,415</t>
  </si>
  <si>
    <t>? 132,682</t>
  </si>
  <si>
    <t>? 5,279,957</t>
  </si>
  <si>
    <t>? 93,099</t>
  </si>
  <si>
    <t>? 3,172,504</t>
  </si>
  <si>
    <t>? 65,890</t>
  </si>
  <si>
    <t>? 2,806,227</t>
  </si>
  <si>
    <t>? 203,852</t>
  </si>
  <si>
    <t>? 3,424,735</t>
  </si>
  <si>
    <t>? 67,538</t>
  </si>
  <si>
    <t>? 364,638</t>
  </si>
  <si>
    <t>? 65,549</t>
  </si>
  <si>
    <t>? 2,007,650</t>
  </si>
  <si>
    <t>? 143,250</t>
  </si>
  <si>
    <t>? 3,766,197</t>
  </si>
  <si>
    <t>? 156,170</t>
  </si>
  <si>
    <t>? 3,779,197</t>
  </si>
  <si>
    <t>? 72,925</t>
  </si>
  <si>
    <t>? 2,747,864</t>
  </si>
  <si>
    <t>? 47,792</t>
  </si>
  <si>
    <t>? 2,145,764</t>
  </si>
  <si>
    <t>? 119,991</t>
  </si>
  <si>
    <t>? 1,990,224</t>
  </si>
  <si>
    <t>? 112,655</t>
  </si>
  <si>
    <t>? 3,920,124</t>
  </si>
  <si>
    <t>? 128,171</t>
  </si>
  <si>
    <t>? 3,043,169</t>
  </si>
  <si>
    <t>? 251,733</t>
  </si>
  <si>
    <t>? 4,143,707</t>
  </si>
  <si>
    <t>? 165,229</t>
  </si>
  <si>
    <t>? 3,242,545</t>
  </si>
  <si>
    <t>? 101,398</t>
  </si>
  <si>
    <t>? 1,965,140</t>
  </si>
  <si>
    <t>? 209,088</t>
  </si>
  <si>
    <t>? 2,447,522</t>
  </si>
  <si>
    <t>? 265,211</t>
  </si>
  <si>
    <t>? 3,931,416</t>
  </si>
  <si>
    <t>? 27,008</t>
  </si>
  <si>
    <t>? 1,729,749</t>
  </si>
  <si>
    <t>? 55,024</t>
  </si>
  <si>
    <t>? 1,623,226</t>
  </si>
  <si>
    <t>? 48,713</t>
  </si>
  <si>
    <t>? 1,095,171</t>
  </si>
  <si>
    <t>? 139,232</t>
  </si>
  <si>
    <t>? 1,343,596</t>
  </si>
  <si>
    <t>? 40,730</t>
  </si>
  <si>
    <t>? 486,884</t>
  </si>
  <si>
    <t>? 110,297</t>
  </si>
  <si>
    <t>? 4,174,013</t>
  </si>
  <si>
    <t>? 170,089</t>
  </si>
  <si>
    <t>? 2,704,688</t>
  </si>
  <si>
    <t>AD001</t>
  </si>
  <si>
    <t>UG Admission</t>
  </si>
  <si>
    <t>Google Ads</t>
  </si>
  <si>
    <t>? 84,842</t>
  </si>
  <si>
    <t>? 2,067,524</t>
  </si>
  <si>
    <t>? 121,440</t>
  </si>
  <si>
    <t>? 5,523,180</t>
  </si>
  <si>
    <t>? 68,121</t>
  </si>
  <si>
    <t>? 4,167,141</t>
  </si>
  <si>
    <t>? 62,507</t>
  </si>
  <si>
    <t>? 2,300,982</t>
  </si>
  <si>
    <t>? 170,515</t>
  </si>
  <si>
    <t>? 2,633,312</t>
  </si>
  <si>
    <t>? 175,686</t>
  </si>
  <si>
    <t>? 2,908,345</t>
  </si>
  <si>
    <t>? 76,966</t>
  </si>
  <si>
    <t>? 3,527,269</t>
  </si>
  <si>
    <t>? 53,252</t>
  </si>
  <si>
    <t>? 737,803</t>
  </si>
  <si>
    <t>? 52,948</t>
  </si>
  <si>
    <t>? 1,892,178</t>
  </si>
  <si>
    <t>? 84,019</t>
  </si>
  <si>
    <t>? 923,164</t>
  </si>
  <si>
    <t>? 116,041</t>
  </si>
  <si>
    <t>? 2,303,108</t>
  </si>
  <si>
    <t>? 112,400</t>
  </si>
  <si>
    <t>? 2,091,662</t>
  </si>
  <si>
    <t>? 66,260</t>
  </si>
  <si>
    <t>? 2,398,363</t>
  </si>
  <si>
    <t>? 70,257</t>
  </si>
  <si>
    <t>? 1,655,474</t>
  </si>
  <si>
    <t>? 47,097</t>
  </si>
  <si>
    <t>? 644,766</t>
  </si>
  <si>
    <t>? 102,014</t>
  </si>
  <si>
    <t>? 1,463,625</t>
  </si>
  <si>
    <t>? 36,079</t>
  </si>
  <si>
    <t>? 646,247</t>
  </si>
  <si>
    <t>? 122,048</t>
  </si>
  <si>
    <t>? 1,454,477</t>
  </si>
  <si>
    <t>? 118,320</t>
  </si>
  <si>
    <t>? 2,536,805</t>
  </si>
  <si>
    <t>? 199,476</t>
  </si>
  <si>
    <t>? 3,964,941</t>
  </si>
  <si>
    <t>? 70,483</t>
  </si>
  <si>
    <t>? 1,018,846</t>
  </si>
  <si>
    <t>? 164,270</t>
  </si>
  <si>
    <t>? 4,063,881</t>
  </si>
  <si>
    <t>? 192,462</t>
  </si>
  <si>
    <t>? 2,305,973</t>
  </si>
  <si>
    <t>? 175,995</t>
  </si>
  <si>
    <t>? 2,066,587</t>
  </si>
  <si>
    <t>? 169,204</t>
  </si>
  <si>
    <t>? 976,767</t>
  </si>
  <si>
    <t>? 152,447</t>
  </si>
  <si>
    <t>? 2,203,004</t>
  </si>
  <si>
    <t>? 182,807</t>
  </si>
  <si>
    <t>? 2,268,459</t>
  </si>
  <si>
    <t>? 41,335</t>
  </si>
  <si>
    <t>? 2,016,293</t>
  </si>
  <si>
    <t>? 77,930</t>
  </si>
  <si>
    <t>? 1,344,335</t>
  </si>
  <si>
    <t>? 188,269</t>
  </si>
  <si>
    <t>? 5,847,270</t>
  </si>
  <si>
    <t>? 133,645</t>
  </si>
  <si>
    <t>? 2,895,845</t>
  </si>
  <si>
    <t>? 70,142</t>
  </si>
  <si>
    <t>? 1,034,342</t>
  </si>
  <si>
    <t>? 169,598</t>
  </si>
  <si>
    <t>? 3,162,279</t>
  </si>
  <si>
    <t>? 93,791</t>
  </si>
  <si>
    <t>? 1,580,107</t>
  </si>
  <si>
    <t>? 89,639</t>
  </si>
  <si>
    <t>? 4,671,783</t>
  </si>
  <si>
    <t>? 25,555</t>
  </si>
  <si>
    <t>? 1,293,768</t>
  </si>
  <si>
    <t>? 152,568</t>
  </si>
  <si>
    <t>? 1,915,390</t>
  </si>
  <si>
    <t>? 103,656</t>
  </si>
  <si>
    <t>? 4,524,609</t>
  </si>
  <si>
    <t>? 126,624</t>
  </si>
  <si>
    <t>? 3,738,990</t>
  </si>
  <si>
    <t>? 203,424</t>
  </si>
  <si>
    <t>? 2,119,680</t>
  </si>
  <si>
    <t>? 77,653</t>
  </si>
  <si>
    <t>? 1,845,722</t>
  </si>
  <si>
    <t>? 262,334</t>
  </si>
  <si>
    <t>? 2,663,780</t>
  </si>
  <si>
    <t>? 212,230</t>
  </si>
  <si>
    <t>? 5,350,896</t>
  </si>
  <si>
    <t>? 59,042</t>
  </si>
  <si>
    <t>? 1,242,049</t>
  </si>
  <si>
    <t>? 241,060</t>
  </si>
  <si>
    <t>? 6,091,994</t>
  </si>
  <si>
    <t>? 49,801</t>
  </si>
  <si>
    <t>? 513,710</t>
  </si>
  <si>
    <t>? 145,335</t>
  </si>
  <si>
    <t>? 2,921,642</t>
  </si>
  <si>
    <t>? 75,946</t>
  </si>
  <si>
    <t>? 1,660,036</t>
  </si>
  <si>
    <t>? 54,950</t>
  </si>
  <si>
    <t>? 1,100,080</t>
  </si>
  <si>
    <t>? 105,185</t>
  </si>
  <si>
    <t>? 4,785,145</t>
  </si>
  <si>
    <t>? 131,708</t>
  </si>
  <si>
    <t>? 6,173,760</t>
  </si>
  <si>
    <t>? 146,176</t>
  </si>
  <si>
    <t>? 3,464,552</t>
  </si>
  <si>
    <t>? 43,169</t>
  </si>
  <si>
    <t>? 954,212</t>
  </si>
  <si>
    <t>? 58,687</t>
  </si>
  <si>
    <t>? 569,195</t>
  </si>
  <si>
    <t>? 66,294</t>
  </si>
  <si>
    <t>? 838,838</t>
  </si>
  <si>
    <t>? 152,034</t>
  </si>
  <si>
    <t>? 2,850,576</t>
  </si>
  <si>
    <t>? 99,239</t>
  </si>
  <si>
    <t>? 960,812</t>
  </si>
  <si>
    <t>? 58,117</t>
  </si>
  <si>
    <t>? 1,323,998</t>
  </si>
  <si>
    <t>? 121,005</t>
  </si>
  <si>
    <t>? 2,780,010</t>
  </si>
  <si>
    <t>? 147,977</t>
  </si>
  <si>
    <t>? 1,161,334</t>
  </si>
  <si>
    <t>? 59,285</t>
  </si>
  <si>
    <t>? 2,288,813</t>
  </si>
  <si>
    <t>? 141,499</t>
  </si>
  <si>
    <t>? 1,140,876</t>
  </si>
  <si>
    <t>? 85,229</t>
  </si>
  <si>
    <t>? 2,637,714</t>
  </si>
  <si>
    <t>? 254,339</t>
  </si>
  <si>
    <t>? 4,246,093</t>
  </si>
  <si>
    <t>? 34,959</t>
  </si>
  <si>
    <t>? 584,663</t>
  </si>
  <si>
    <t>? 208,104</t>
  </si>
  <si>
    <t>? 3,892,838</t>
  </si>
  <si>
    <t>? 129,203</t>
  </si>
  <si>
    <t>? 3,018,743</t>
  </si>
  <si>
    <t>? 219,848</t>
  </si>
  <si>
    <t>? 5,156,799</t>
  </si>
  <si>
    <t>? 146,348</t>
  </si>
  <si>
    <t>? 3,872,315</t>
  </si>
  <si>
    <t>? 189,342</t>
  </si>
  <si>
    <t>? 5,411,519</t>
  </si>
  <si>
    <t>? 95,245</t>
  </si>
  <si>
    <t>? 1,500,707</t>
  </si>
  <si>
    <t>? 100,418</t>
  </si>
  <si>
    <t>? 2,085,502</t>
  </si>
  <si>
    <t>? 200,218</t>
  </si>
  <si>
    <t>? 2,522,441</t>
  </si>
  <si>
    <t>? 126,584</t>
  </si>
  <si>
    <t>? 7,087,677</t>
  </si>
  <si>
    <t>? 202,095</t>
  </si>
  <si>
    <t>? 2,398,172</t>
  </si>
  <si>
    <t>? 108,898</t>
  </si>
  <si>
    <t>? 3,431,908</t>
  </si>
  <si>
    <t>? 57,707</t>
  </si>
  <si>
    <t>? 1,314,021</t>
  </si>
  <si>
    <t>? 115,667</t>
  </si>
  <si>
    <t>? 2,387,204</t>
  </si>
  <si>
    <t>? 190,235</t>
  </si>
  <si>
    <t>? 4,025,667</t>
  </si>
  <si>
    <t>? 39,782</t>
  </si>
  <si>
    <t>? 893,338</t>
  </si>
  <si>
    <t>? 115,882</t>
  </si>
  <si>
    <t>? 4,999,995</t>
  </si>
  <si>
    <t>? 45,624</t>
  </si>
  <si>
    <t>? 1,291,459</t>
  </si>
  <si>
    <t>? 107,078</t>
  </si>
  <si>
    <t>? 4,718,407</t>
  </si>
  <si>
    <t>? 155,076</t>
  </si>
  <si>
    <t>? 3,804,207</t>
  </si>
  <si>
    <t>? 150,706</t>
  </si>
  <si>
    <t>? 2,219,931</t>
  </si>
  <si>
    <t>? 103,745</t>
  </si>
  <si>
    <t>? 1,765,941</t>
  </si>
  <si>
    <t>? 65,513</t>
  </si>
  <si>
    <t>? 1,832,026</t>
  </si>
  <si>
    <t>? 256,268</t>
  </si>
  <si>
    <t>? 4,686,284</t>
  </si>
  <si>
    <t>? 178,259</t>
  </si>
  <si>
    <t>? 2,674,524</t>
  </si>
  <si>
    <t>? 85,665</t>
  </si>
  <si>
    <t>? 1,939,709</t>
  </si>
  <si>
    <t>? 150,184</t>
  </si>
  <si>
    <t>? 2,235,498</t>
  </si>
  <si>
    <t>? 50,084</t>
  </si>
  <si>
    <t>? 751,942</t>
  </si>
  <si>
    <t>? 181,727</t>
  </si>
  <si>
    <t>? 3,279,196</t>
  </si>
  <si>
    <t>? 31,495</t>
  </si>
  <si>
    <t>? 721,472</t>
  </si>
  <si>
    <t>? 117,139</t>
  </si>
  <si>
    <t>? 4,142,036</t>
  </si>
  <si>
    <t>? 264,153</t>
  </si>
  <si>
    <t>? 6,279,651</t>
  </si>
  <si>
    <t>? 134,786</t>
  </si>
  <si>
    <t>? 5,166,292</t>
  </si>
  <si>
    <t>? 148,219</t>
  </si>
  <si>
    <t>? 2,403,528</t>
  </si>
  <si>
    <t>? 562,987</t>
  </si>
  <si>
    <t>? 39,734</t>
  </si>
  <si>
    <t>? 1,374,433</t>
  </si>
  <si>
    <t>? 214,463</t>
  </si>
  <si>
    <t>? 3,712,872</t>
  </si>
  <si>
    <t>? 121,167</t>
  </si>
  <si>
    <t>? 2,837,407</t>
  </si>
  <si>
    <t>? 50,973</t>
  </si>
  <si>
    <t>? 1,299,358</t>
  </si>
  <si>
    <t>? 84,200</t>
  </si>
  <si>
    <t>? 2,218,830</t>
  </si>
  <si>
    <t>? 192,460</t>
  </si>
  <si>
    <t>? 2,362,548</t>
  </si>
  <si>
    <t>? 107,267</t>
  </si>
  <si>
    <t>? 1,912,335</t>
  </si>
  <si>
    <t>? 101,206</t>
  </si>
  <si>
    <t>? 1,581,964</t>
  </si>
  <si>
    <t>? 66,126</t>
  </si>
  <si>
    <t>? 751,735</t>
  </si>
  <si>
    <t>? 85,485</t>
  </si>
  <si>
    <t>? 2,700,294</t>
  </si>
  <si>
    <t>? 191,299</t>
  </si>
  <si>
    <t>? 3,980,786</t>
  </si>
  <si>
    <t>? 59,407</t>
  </si>
  <si>
    <t>? 1,218,840</t>
  </si>
  <si>
    <t>? 118,501</t>
  </si>
  <si>
    <t>? 3,178,344</t>
  </si>
  <si>
    <t>? 151,754</t>
  </si>
  <si>
    <t>? 5,715,057</t>
  </si>
  <si>
    <t>? 164,162</t>
  </si>
  <si>
    <t>? 3,749,676</t>
  </si>
  <si>
    <t>? 120,755</t>
  </si>
  <si>
    <t>? 1,563,740</t>
  </si>
  <si>
    <t>? 182,684</t>
  </si>
  <si>
    <t>? 6,159,534</t>
  </si>
  <si>
    <t>? 76,411</t>
  </si>
  <si>
    <t>? 520,844</t>
  </si>
  <si>
    <t>? 154,890</t>
  </si>
  <si>
    <t>? 2,689,432</t>
  </si>
  <si>
    <t>? 37,172</t>
  </si>
  <si>
    <t>? 1,300,603</t>
  </si>
  <si>
    <t>? 109,850</t>
  </si>
  <si>
    <t>? 3,668,864</t>
  </si>
  <si>
    <t>? 96,132</t>
  </si>
  <si>
    <t>? 4,551,262</t>
  </si>
  <si>
    <t>? 284,696</t>
  </si>
  <si>
    <t>? 2,297,720</t>
  </si>
  <si>
    <t>? 177,941</t>
  </si>
  <si>
    <t>? 2,774,452</t>
  </si>
  <si>
    <t>? 142,412</t>
  </si>
  <si>
    <t>? 4,242,470</t>
  </si>
  <si>
    <t>? 267,369</t>
  </si>
  <si>
    <t>? 6,633,450</t>
  </si>
  <si>
    <t>? 161,244</t>
  </si>
  <si>
    <t>? 2,892,185</t>
  </si>
  <si>
    <t>? 40,656</t>
  </si>
  <si>
    <t>? 1,131,480</t>
  </si>
  <si>
    <t>? 78,356</t>
  </si>
  <si>
    <t>? 1,666,242</t>
  </si>
  <si>
    <t>? 171,935</t>
  </si>
  <si>
    <t>? 4,701,885</t>
  </si>
  <si>
    <t>? 110,776</t>
  </si>
  <si>
    <t>? 1,886,619</t>
  </si>
  <si>
    <t>? 59,265</t>
  </si>
  <si>
    <t>? 1,624,993</t>
  </si>
  <si>
    <t>? 113,946</t>
  </si>
  <si>
    <t>? 3,146,851</t>
  </si>
  <si>
    <t>? 189,378</t>
  </si>
  <si>
    <t>? 2,736,848</t>
  </si>
  <si>
    <t>? 64,452</t>
  </si>
  <si>
    <t>? 2,150,211</t>
  </si>
  <si>
    <t>? 78,557</t>
  </si>
  <si>
    <t>? 817,560</t>
  </si>
  <si>
    <t>? 127,532</t>
  </si>
  <si>
    <t>? 2,683,478</t>
  </si>
  <si>
    <t>? 216,742</t>
  </si>
  <si>
    <t>? 7,943,328</t>
  </si>
  <si>
    <t>? 57,062</t>
  </si>
  <si>
    <t>? 1,916,053</t>
  </si>
  <si>
    <t>? 244,868</t>
  </si>
  <si>
    <t>? 2,427,244</t>
  </si>
  <si>
    <t>? 130,265</t>
  </si>
  <si>
    <t>? 5,214,044</t>
  </si>
  <si>
    <t>? 195,774</t>
  </si>
  <si>
    <t>? 4,343,633</t>
  </si>
  <si>
    <t>? 195,141</t>
  </si>
  <si>
    <t>? 5,500,365</t>
  </si>
  <si>
    <t>? 175,825</t>
  </si>
  <si>
    <t>? 1,322,998</t>
  </si>
  <si>
    <t>? 149,311</t>
  </si>
  <si>
    <t>? 2,655,171</t>
  </si>
  <si>
    <t>? 134,701</t>
  </si>
  <si>
    <t>? 2,590,999</t>
  </si>
  <si>
    <t>? 121,892</t>
  </si>
  <si>
    <t>? 4,751,275</t>
  </si>
  <si>
    <t>? 77,321</t>
  </si>
  <si>
    <t>? 3,546,992</t>
  </si>
  <si>
    <t>? 53,345</t>
  </si>
  <si>
    <t>? 1,158,160</t>
  </si>
  <si>
    <t>? 93,883</t>
  </si>
  <si>
    <t>? 3,774,177</t>
  </si>
  <si>
    <t>? 196,856</t>
  </si>
  <si>
    <t>? 2,571,768</t>
  </si>
  <si>
    <t>? 145,416</t>
  </si>
  <si>
    <t>? 7,154,155</t>
  </si>
  <si>
    <t>? 73,479</t>
  </si>
  <si>
    <t>? 920,163</t>
  </si>
  <si>
    <t>? 174,102</t>
  </si>
  <si>
    <t>? 4,208,263</t>
  </si>
  <si>
    <t>? 128,422</t>
  </si>
  <si>
    <t>? 2,524,973</t>
  </si>
  <si>
    <t>? 182,545</t>
  </si>
  <si>
    <t>? 3,348,575</t>
  </si>
  <si>
    <t>? 58,644</t>
  </si>
  <si>
    <t>? 1,605,698</t>
  </si>
  <si>
    <t>? 143,891</t>
  </si>
  <si>
    <t>? 2,013,576</t>
  </si>
  <si>
    <t>? 58,397</t>
  </si>
  <si>
    <t>? 1,512,058</t>
  </si>
  <si>
    <t>? 238,170</t>
  </si>
  <si>
    <t>? 3,760,809</t>
  </si>
  <si>
    <t>? 125,239</t>
  </si>
  <si>
    <t>? 4,864,240</t>
  </si>
  <si>
    <t>? 217,165</t>
  </si>
  <si>
    <t>? 3,498,931</t>
  </si>
  <si>
    <t>? 138,014</t>
  </si>
  <si>
    <t>? 3,729,597</t>
  </si>
  <si>
    <t>? 70,776</t>
  </si>
  <si>
    <t>? 1,931,400</t>
  </si>
  <si>
    <t>? 28,331</t>
  </si>
  <si>
    <t>? 567,613</t>
  </si>
  <si>
    <t>? 39,731</t>
  </si>
  <si>
    <t>? 1,134,387</t>
  </si>
  <si>
    <t>? 49,643</t>
  </si>
  <si>
    <t>? 538,638</t>
  </si>
  <si>
    <t>? 50,748</t>
  </si>
  <si>
    <t>? 703,721</t>
  </si>
  <si>
    <t>? 144,033</t>
  </si>
  <si>
    <t>? 4,185,548</t>
  </si>
  <si>
    <t>? 107,032</t>
  </si>
  <si>
    <t>? 4,032,427</t>
  </si>
  <si>
    <t>? 200,473</t>
  </si>
  <si>
    <t>? 1,996,665</t>
  </si>
  <si>
    <t>? 133,225</t>
  </si>
  <si>
    <t>? 4,364,605</t>
  </si>
  <si>
    <t>? 233,554</t>
  </si>
  <si>
    <t>? 1,607,665</t>
  </si>
  <si>
    <t>? 248,691</t>
  </si>
  <si>
    <t>? 6,675,095</t>
  </si>
  <si>
    <t>? 254,212</t>
  </si>
  <si>
    <t>? 3,218,556</t>
  </si>
  <si>
    <t>? 46,341</t>
  </si>
  <si>
    <t>? 2,501,010</t>
  </si>
  <si>
    <t>? 108,833</t>
  </si>
  <si>
    <t>? 8,859,616</t>
  </si>
  <si>
    <t>? 108,824</t>
  </si>
  <si>
    <t>? 3,333,666</t>
  </si>
  <si>
    <t>? 100,652</t>
  </si>
  <si>
    <t>? 2,996,388</t>
  </si>
  <si>
    <t>? 93,158</t>
  </si>
  <si>
    <t>? 1,525,793</t>
  </si>
  <si>
    <t>? 39,558</t>
  </si>
  <si>
    <t>? 1,358,546</t>
  </si>
  <si>
    <t>? 66,697</t>
  </si>
  <si>
    <t>? 3,914,237</t>
  </si>
  <si>
    <t>? 143,383</t>
  </si>
  <si>
    <t>? 1,991,696</t>
  </si>
  <si>
    <t>? 135,738</t>
  </si>
  <si>
    <t>? 4,957,160</t>
  </si>
  <si>
    <t>? 121,893</t>
  </si>
  <si>
    <t>? 1,449,677</t>
  </si>
  <si>
    <t>? 48,121</t>
  </si>
  <si>
    <t>? 1,063,428</t>
  </si>
  <si>
    <t>AD005</t>
  </si>
  <si>
    <t>Semester Exchange Program</t>
  </si>
  <si>
    <t>Instagram</t>
  </si>
  <si>
    <t>? 88,125</t>
  </si>
  <si>
    <t>? 2,363,534</t>
  </si>
  <si>
    <t>? 113,476</t>
  </si>
  <si>
    <t>? 1,926,664</t>
  </si>
  <si>
    <t>? 75,050</t>
  </si>
  <si>
    <t>? 2,509,324</t>
  </si>
  <si>
    <t>? 136,501</t>
  </si>
  <si>
    <t>? 3,345,577</t>
  </si>
  <si>
    <t>? 141,729</t>
  </si>
  <si>
    <t>? 7,709,100</t>
  </si>
  <si>
    <t>? 53,808</t>
  </si>
  <si>
    <t>? 514,276</t>
  </si>
  <si>
    <t>? 36,780</t>
  </si>
  <si>
    <t>? 638,056</t>
  </si>
  <si>
    <t>? 58,133</t>
  </si>
  <si>
    <t>? 1,085,319</t>
  </si>
  <si>
    <t>? 58,193</t>
  </si>
  <si>
    <t>? 1,634,561</t>
  </si>
  <si>
    <t>? 43,537</t>
  </si>
  <si>
    <t>? 1,813,997</t>
  </si>
  <si>
    <t>? 86,473</t>
  </si>
  <si>
    <t>? 1,992,670</t>
  </si>
  <si>
    <t>? 270,728</t>
  </si>
  <si>
    <t>? 2,895,012</t>
  </si>
  <si>
    <t>? 48,889</t>
  </si>
  <si>
    <t>? 404,235</t>
  </si>
  <si>
    <t>? 69,666</t>
  </si>
  <si>
    <t>? 1,270,694</t>
  </si>
  <si>
    <t>? 112,551</t>
  </si>
  <si>
    <t>? 3,062,511</t>
  </si>
  <si>
    <t>? 48,487</t>
  </si>
  <si>
    <t>? 1,016,705</t>
  </si>
  <si>
    <t>? 163,463</t>
  </si>
  <si>
    <t>? 2,873,827</t>
  </si>
  <si>
    <t>? 132,916</t>
  </si>
  <si>
    <t>? 5,811,867</t>
  </si>
  <si>
    <t>? 51,723</t>
  </si>
  <si>
    <t>? 1,262,104</t>
  </si>
  <si>
    <t>? 151,435</t>
  </si>
  <si>
    <t>? 8,479,989</t>
  </si>
  <si>
    <t>? 119,177</t>
  </si>
  <si>
    <t>? 3,554,174</t>
  </si>
  <si>
    <t>? 103,534</t>
  </si>
  <si>
    <t>? 1,950,084</t>
  </si>
  <si>
    <t>? 54,507</t>
  </si>
  <si>
    <t>? 1,051,156</t>
  </si>
  <si>
    <t>? 143,265</t>
  </si>
  <si>
    <t>? 2,808,714</t>
  </si>
  <si>
    <t>? 78,718</t>
  </si>
  <si>
    <t>? 3,267,340</t>
  </si>
  <si>
    <t>? 41,068</t>
  </si>
  <si>
    <t>? 1,553,036</t>
  </si>
  <si>
    <t>? 163,227</t>
  </si>
  <si>
    <t>? 1,995,132</t>
  </si>
  <si>
    <t>? 246,807</t>
  </si>
  <si>
    <t>? 4,424,382</t>
  </si>
  <si>
    <t>? 50,359</t>
  </si>
  <si>
    <t>? 1,510,027</t>
  </si>
  <si>
    <t>? 110,741</t>
  </si>
  <si>
    <t>? 3,876,987</t>
  </si>
  <si>
    <t>? 102,580</t>
  </si>
  <si>
    <t>? 3,446,318</t>
  </si>
  <si>
    <t>? 133,747</t>
  </si>
  <si>
    <t>? 2,831,001</t>
  </si>
  <si>
    <t>? 171,744</t>
  </si>
  <si>
    <t>? 3,311,851</t>
  </si>
  <si>
    <t>? 120,425</t>
  </si>
  <si>
    <t>? 2,071,544</t>
  </si>
  <si>
    <t>? 167,140</t>
  </si>
  <si>
    <t>? 4,151,996</t>
  </si>
  <si>
    <t>? 92,404</t>
  </si>
  <si>
    <t>? 6,148,024</t>
  </si>
  <si>
    <t>? 83,953</t>
  </si>
  <si>
    <t>? 3,329,055</t>
  </si>
  <si>
    <t>? 34,435</t>
  </si>
  <si>
    <t>? 774,445</t>
  </si>
  <si>
    <t>? 192,783</t>
  </si>
  <si>
    <t>? 4,819,731</t>
  </si>
  <si>
    <t>? 239,238</t>
  </si>
  <si>
    <t>? 5,018,705</t>
  </si>
  <si>
    <t>? 195,180</t>
  </si>
  <si>
    <t>? 5,342,189</t>
  </si>
  <si>
    <t>? 47,689</t>
  </si>
  <si>
    <t>? 567,663</t>
  </si>
  <si>
    <t>? 121,776</t>
  </si>
  <si>
    <t>? 3,796,436</t>
  </si>
  <si>
    <t>? 210,423</t>
  </si>
  <si>
    <t>? 1,816,349</t>
  </si>
  <si>
    <t>? 114,530</t>
  </si>
  <si>
    <t>? 1,755,445</t>
  </si>
  <si>
    <t>? 255,249</t>
  </si>
  <si>
    <t>? 5,574,248</t>
  </si>
  <si>
    <t>? 43,645</t>
  </si>
  <si>
    <t>? 1,029,954</t>
  </si>
  <si>
    <t>? 249,801</t>
  </si>
  <si>
    <t>? 3,360,100</t>
  </si>
  <si>
    <t>? 153,681</t>
  </si>
  <si>
    <t>? 1,737,264</t>
  </si>
  <si>
    <t>? 243,364</t>
  </si>
  <si>
    <t>? 7,580,436</t>
  </si>
  <si>
    <t>? 167,612</t>
  </si>
  <si>
    <t>? 5,312,696</t>
  </si>
  <si>
    <t>? 170,545</t>
  </si>
  <si>
    <t>? 2,172,106</t>
  </si>
  <si>
    <t>? 178,773</t>
  </si>
  <si>
    <t>? 6,237,100</t>
  </si>
  <si>
    <t>? 76,198</t>
  </si>
  <si>
    <t>? 1,803,614</t>
  </si>
  <si>
    <t>? 53,889</t>
  </si>
  <si>
    <t>? 1,248,957</t>
  </si>
  <si>
    <t>? 149,271</t>
  </si>
  <si>
    <t>? 1,316,066</t>
  </si>
  <si>
    <t>? 71,163</t>
  </si>
  <si>
    <t>? 1,195,977</t>
  </si>
  <si>
    <t>? 68,408</t>
  </si>
  <si>
    <t>? 1,404,431</t>
  </si>
  <si>
    <t>? 123,950</t>
  </si>
  <si>
    <t>? 7,284,647</t>
  </si>
  <si>
    <t>? 116,652</t>
  </si>
  <si>
    <t>? 2,196,952</t>
  </si>
  <si>
    <t>? 100,933</t>
  </si>
  <si>
    <t>? 2,063,936</t>
  </si>
  <si>
    <t>? 119,950</t>
  </si>
  <si>
    <t>? 3,907,589</t>
  </si>
  <si>
    <t>? 155,414</t>
  </si>
  <si>
    <t>? 5,373,759</t>
  </si>
  <si>
    <t>? 56,362</t>
  </si>
  <si>
    <t>? 988,492</t>
  </si>
  <si>
    <t>? 145,813</t>
  </si>
  <si>
    <t>? 7,254,951</t>
  </si>
  <si>
    <t>? 99,176</t>
  </si>
  <si>
    <t>? 2,537,615</t>
  </si>
  <si>
    <t>? 50,867</t>
  </si>
  <si>
    <t>? 2,142,106</t>
  </si>
  <si>
    <t>? 48,038</t>
  </si>
  <si>
    <t>? 806,658</t>
  </si>
  <si>
    <t>? 200,843</t>
  </si>
  <si>
    <t>? 3,867,146</t>
  </si>
  <si>
    <t>? 40,401</t>
  </si>
  <si>
    <t>? 517,444</t>
  </si>
  <si>
    <t>? 135,222</t>
  </si>
  <si>
    <t>? 4,879,841</t>
  </si>
  <si>
    <t>? 58,811</t>
  </si>
  <si>
    <t>? 812,926</t>
  </si>
  <si>
    <t>? 82,238</t>
  </si>
  <si>
    <t>? 1,090,016</t>
  </si>
  <si>
    <t>? 268,441</t>
  </si>
  <si>
    <t>? 10,200,619</t>
  </si>
  <si>
    <t>? 50,675</t>
  </si>
  <si>
    <t>? 618,471</t>
  </si>
  <si>
    <t>? 42,374</t>
  </si>
  <si>
    <t>? 1,263,776</t>
  </si>
  <si>
    <t>? 117,045</t>
  </si>
  <si>
    <t>? 1,718,165</t>
  </si>
  <si>
    <t>? 174,372</t>
  </si>
  <si>
    <t>? 2,190,323</t>
  </si>
  <si>
    <t>? 73,759</t>
  </si>
  <si>
    <t>? 1,765,142</t>
  </si>
  <si>
    <t>? 38,131</t>
  </si>
  <si>
    <t>? 2,070,392</t>
  </si>
  <si>
    <t>? 107,788</t>
  </si>
  <si>
    <t>? 2,220,089</t>
  </si>
  <si>
    <t>? 80,919</t>
  </si>
  <si>
    <t>? 2,265,578</t>
  </si>
  <si>
    <t>? 43,967</t>
  </si>
  <si>
    <t>? 2,323,390</t>
  </si>
  <si>
    <t>? 65,109</t>
  </si>
  <si>
    <t>? 1,489,069</t>
  </si>
  <si>
    <t>? 124,822</t>
  </si>
  <si>
    <t>? 1,474,440</t>
  </si>
  <si>
    <t>? 200,319</t>
  </si>
  <si>
    <t>? 7,439,846</t>
  </si>
  <si>
    <t>? 262,908</t>
  </si>
  <si>
    <t>? 7,305,476</t>
  </si>
  <si>
    <t>? 72,932</t>
  </si>
  <si>
    <t>? 1,570,057</t>
  </si>
  <si>
    <t>? 126,930</t>
  </si>
  <si>
    <t>? 4,613,730</t>
  </si>
  <si>
    <t>? 96,604</t>
  </si>
  <si>
    <t>? 1,911,054</t>
  </si>
  <si>
    <t>? 90,136</t>
  </si>
  <si>
    <t>? 550,297</t>
  </si>
  <si>
    <t>? 116,711</t>
  </si>
  <si>
    <t>? 955,853</t>
  </si>
  <si>
    <t>? 83,985</t>
  </si>
  <si>
    <t>? 3,644,884</t>
  </si>
  <si>
    <t>? 88,554</t>
  </si>
  <si>
    <t>? 1,706,756</t>
  </si>
  <si>
    <t>? 239,729</t>
  </si>
  <si>
    <t>? 3,926,372</t>
  </si>
  <si>
    <t>? 273,924</t>
  </si>
  <si>
    <t>? 2,298,554</t>
  </si>
  <si>
    <t>? 142,059</t>
  </si>
  <si>
    <t>? 1,710,668</t>
  </si>
  <si>
    <t>? 209,784</t>
  </si>
  <si>
    <t>? 3,330,514</t>
  </si>
  <si>
    <t>? 65,523</t>
  </si>
  <si>
    <t>? 2,443,483</t>
  </si>
  <si>
    <t>? 38,379</t>
  </si>
  <si>
    <t>? 865,327</t>
  </si>
  <si>
    <t>? 75,836</t>
  </si>
  <si>
    <t>? 1,654,751</t>
  </si>
  <si>
    <t>? 110,563</t>
  </si>
  <si>
    <t>? 1,888,857</t>
  </si>
  <si>
    <t>? 139,364</t>
  </si>
  <si>
    <t>? 1,826,452</t>
  </si>
  <si>
    <t>? 48,217</t>
  </si>
  <si>
    <t>? 1,214,181</t>
  </si>
  <si>
    <t>? 116,989</t>
  </si>
  <si>
    <t>? 1,522,258</t>
  </si>
  <si>
    <t>? 241,798</t>
  </si>
  <si>
    <t>? 7,037,867</t>
  </si>
  <si>
    <t>? 176,722</t>
  </si>
  <si>
    <t>? 988,512</t>
  </si>
  <si>
    <t>? 49,757</t>
  </si>
  <si>
    <t>? 578,095</t>
  </si>
  <si>
    <t>? 208,157</t>
  </si>
  <si>
    <t>? 4,202,663</t>
  </si>
  <si>
    <t>? 119,294</t>
  </si>
  <si>
    <t>? 4,620,821</t>
  </si>
  <si>
    <t>? 63,510</t>
  </si>
  <si>
    <t>? 1,979,291</t>
  </si>
  <si>
    <t>? 115,045</t>
  </si>
  <si>
    <t>? 2,146,534</t>
  </si>
  <si>
    <t>? 79,415</t>
  </si>
  <si>
    <t>? 2,003,387</t>
  </si>
  <si>
    <t>? 81,290</t>
  </si>
  <si>
    <t>? 1,260,960</t>
  </si>
  <si>
    <t>? 99,049</t>
  </si>
  <si>
    <t>? 1,366,324</t>
  </si>
  <si>
    <t>? 52,510</t>
  </si>
  <si>
    <t>? 1,552,232</t>
  </si>
  <si>
    <t>? 51,408</t>
  </si>
  <si>
    <t>? 827,193</t>
  </si>
  <si>
    <t>? 89,432</t>
  </si>
  <si>
    <t>? 2,487,761</t>
  </si>
  <si>
    <t>? 45,063</t>
  </si>
  <si>
    <t>? 895,882</t>
  </si>
  <si>
    <t>? 91,661</t>
  </si>
  <si>
    <t>? 2,080,724</t>
  </si>
  <si>
    <t>? 204,310</t>
  </si>
  <si>
    <t>? 3,459,762</t>
  </si>
  <si>
    <t>? 65,629</t>
  </si>
  <si>
    <t>? 1,949,669</t>
  </si>
  <si>
    <t>? 168,278</t>
  </si>
  <si>
    <t>? 3,222,208</t>
  </si>
  <si>
    <t>? 72,448</t>
  </si>
  <si>
    <t>? 1,950,812</t>
  </si>
  <si>
    <t>? 193,724</t>
  </si>
  <si>
    <t>? 3,007,991</t>
  </si>
  <si>
    <t>? 152,209</t>
  </si>
  <si>
    <t>? 2,606,458</t>
  </si>
  <si>
    <t>? 204,002</t>
  </si>
  <si>
    <t>? 2,714,132</t>
  </si>
  <si>
    <t>? 170,391</t>
  </si>
  <si>
    <t>? 3,092,024</t>
  </si>
  <si>
    <t>? 268,873</t>
  </si>
  <si>
    <t>? 6,443,869</t>
  </si>
  <si>
    <t>? 131,185</t>
  </si>
  <si>
    <t>? 1,392,508</t>
  </si>
  <si>
    <t>? 105,289</t>
  </si>
  <si>
    <t>? 2,943,847</t>
  </si>
  <si>
    <t>? 27,683</t>
  </si>
  <si>
    <t>? 419,255</t>
  </si>
  <si>
    <t>? 145,599</t>
  </si>
  <si>
    <t>? 1,883,807</t>
  </si>
  <si>
    <t>? 241,562</t>
  </si>
  <si>
    <t>? 2,333,254</t>
  </si>
  <si>
    <t>? 219,965</t>
  </si>
  <si>
    <t>? 2,905,813</t>
  </si>
  <si>
    <t>? 75,860</t>
  </si>
  <si>
    <t>? 757,099</t>
  </si>
  <si>
    <t>? 56,628</t>
  </si>
  <si>
    <t>? 1,560,935</t>
  </si>
  <si>
    <t>? 91,992</t>
  </si>
  <si>
    <t>? 2,282,140</t>
  </si>
  <si>
    <t>? 86,113</t>
  </si>
  <si>
    <t>? 2,382,488</t>
  </si>
  <si>
    <t>? 184,747</t>
  </si>
  <si>
    <t>? 3,568,654</t>
  </si>
  <si>
    <t>? 137,202</t>
  </si>
  <si>
    <t>? 3,495,164</t>
  </si>
  <si>
    <t>? 161,155</t>
  </si>
  <si>
    <t>? 6,776,186</t>
  </si>
  <si>
    <t>? 76,726</t>
  </si>
  <si>
    <t>? 415,138</t>
  </si>
  <si>
    <t>? 125,058</t>
  </si>
  <si>
    <t>? 4,406,790</t>
  </si>
  <si>
    <t>? 46,010</t>
  </si>
  <si>
    <t>? 825,434</t>
  </si>
  <si>
    <t>? 230,126</t>
  </si>
  <si>
    <t>? 3,733,798</t>
  </si>
  <si>
    <t>? 46,790</t>
  </si>
  <si>
    <t>? 1,676,078</t>
  </si>
  <si>
    <t>? 44,008</t>
  </si>
  <si>
    <t>? 1,877,094</t>
  </si>
  <si>
    <t>? 73,545</t>
  </si>
  <si>
    <t>? 1,650,695</t>
  </si>
  <si>
    <t>? 116,486</t>
  </si>
  <si>
    <t>? 2,032,416</t>
  </si>
  <si>
    <t>? 219,726</t>
  </si>
  <si>
    <t>? 5,687,976</t>
  </si>
  <si>
    <t>? 70,152</t>
  </si>
  <si>
    <t>? 1,542,619</t>
  </si>
  <si>
    <t>? 127,000</t>
  </si>
  <si>
    <t>? 3,380,862</t>
  </si>
  <si>
    <t>? 60,866</t>
  </si>
  <si>
    <t>? 1,813,988</t>
  </si>
  <si>
    <t>? 239,779</t>
  </si>
  <si>
    <t>? 4,492,737</t>
  </si>
  <si>
    <t>? 197,908</t>
  </si>
  <si>
    <t>? 3,733,898</t>
  </si>
  <si>
    <t>? 125,047</t>
  </si>
  <si>
    <t>? 1,803,265</t>
  </si>
  <si>
    <t>? 90,589</t>
  </si>
  <si>
    <t>? 1,354,157</t>
  </si>
  <si>
    <t>? 60,848</t>
  </si>
  <si>
    <t>? 2,575,368</t>
  </si>
  <si>
    <t>? 50,967</t>
  </si>
  <si>
    <t>? 2,508,470</t>
  </si>
  <si>
    <t>? 149,925</t>
  </si>
  <si>
    <t>? 5,270,433</t>
  </si>
  <si>
    <t>? 150,906</t>
  </si>
  <si>
    <t>? 1,905,071</t>
  </si>
  <si>
    <t>? 135,507</t>
  </si>
  <si>
    <t>? 2,906,425</t>
  </si>
  <si>
    <t>? 57,126</t>
  </si>
  <si>
    <t>? 2,556,577</t>
  </si>
  <si>
    <t>? 66,688</t>
  </si>
  <si>
    <t>? 2,358,768</t>
  </si>
  <si>
    <t>? 45,008</t>
  </si>
  <si>
    <t>? 714,695</t>
  </si>
  <si>
    <t>? 144,404</t>
  </si>
  <si>
    <t>? 4,066,244</t>
  </si>
  <si>
    <t>? 185,495</t>
  </si>
  <si>
    <t>? 5,966,829</t>
  </si>
  <si>
    <t>? 127,284</t>
  </si>
  <si>
    <t>? 3,048,286</t>
  </si>
  <si>
    <t>? 38,281</t>
  </si>
  <si>
    <t>? 618,936</t>
  </si>
  <si>
    <t>? 36,917</t>
  </si>
  <si>
    <t>? 1,292,747</t>
  </si>
  <si>
    <t>? 59,861</t>
  </si>
  <si>
    <t>? 3,616,448</t>
  </si>
  <si>
    <t>? 84,243</t>
  </si>
  <si>
    <t>? 2,143,081</t>
  </si>
  <si>
    <t>? 55,070</t>
  </si>
  <si>
    <t>? 866,752</t>
  </si>
  <si>
    <t>? 93,856</t>
  </si>
  <si>
    <t>? 1,316,378</t>
  </si>
  <si>
    <t>? 52,249</t>
  </si>
  <si>
    <t>? 2,407,661</t>
  </si>
  <si>
    <t>? 187,239</t>
  </si>
  <si>
    <t>? 5,745,146</t>
  </si>
  <si>
    <t>? 119,551</t>
  </si>
  <si>
    <t>? 3,244,204</t>
  </si>
  <si>
    <t>? 99,352</t>
  </si>
  <si>
    <t>? 4,449,421</t>
  </si>
  <si>
    <t>? 85,165</t>
  </si>
  <si>
    <t>? 4,136,750</t>
  </si>
  <si>
    <t>? 45,530</t>
  </si>
  <si>
    <t>? 1,938,587</t>
  </si>
  <si>
    <t>? 123,129</t>
  </si>
  <si>
    <t>? 2,422,517</t>
  </si>
  <si>
    <t>? 59,393</t>
  </si>
  <si>
    <t>? 3,247,013</t>
  </si>
  <si>
    <t>AD003</t>
  </si>
  <si>
    <t>Placements</t>
  </si>
  <si>
    <t>LinkedIn</t>
  </si>
  <si>
    <t>? 273,390</t>
  </si>
  <si>
    <t>? 8,583,247</t>
  </si>
  <si>
    <t>? 64,298</t>
  </si>
  <si>
    <t>? 639,111</t>
  </si>
  <si>
    <t>? 228,210</t>
  </si>
  <si>
    <t>? 3,116,135</t>
  </si>
  <si>
    <t>? 88,250</t>
  </si>
  <si>
    <t>? 1,510,928</t>
  </si>
  <si>
    <t>? 33,689</t>
  </si>
  <si>
    <t>? 618,177</t>
  </si>
  <si>
    <t>? 66,528</t>
  </si>
  <si>
    <t>? 2,071,736</t>
  </si>
  <si>
    <t>? 83,251</t>
  </si>
  <si>
    <t>? 1,142,013</t>
  </si>
  <si>
    <t>? 119,192</t>
  </si>
  <si>
    <t>? 6,335,109</t>
  </si>
  <si>
    <t>? 153,150</t>
  </si>
  <si>
    <t>? 2,013,145</t>
  </si>
  <si>
    <t>? 54,632</t>
  </si>
  <si>
    <t>? 1,173,023</t>
  </si>
  <si>
    <t>? 78,509</t>
  </si>
  <si>
    <t>? 1,955,713</t>
  </si>
  <si>
    <t>? 165,278</t>
  </si>
  <si>
    <t>? 840,798</t>
  </si>
  <si>
    <t>? 141,930</t>
  </si>
  <si>
    <t>? 2,174,372</t>
  </si>
  <si>
    <t>? 179,057</t>
  </si>
  <si>
    <t>? 2,625,758</t>
  </si>
  <si>
    <t>? 55,662</t>
  </si>
  <si>
    <t>? 601,880</t>
  </si>
  <si>
    <t>? 220,389</t>
  </si>
  <si>
    <t>? 3,969,228</t>
  </si>
  <si>
    <t>? 159,981</t>
  </si>
  <si>
    <t>? 5,016,567</t>
  </si>
  <si>
    <t>? 67,854</t>
  </si>
  <si>
    <t>? 1,547,241</t>
  </si>
  <si>
    <t>? 70,366</t>
  </si>
  <si>
    <t>? 1,134,509</t>
  </si>
  <si>
    <t>? 231,253</t>
  </si>
  <si>
    <t>? 2,591,071</t>
  </si>
  <si>
    <t>? 109,054</t>
  </si>
  <si>
    <t>? 3,742,052</t>
  </si>
  <si>
    <t>? 253,283</t>
  </si>
  <si>
    <t>? 2,874,025</t>
  </si>
  <si>
    <t>? 98,851</t>
  </si>
  <si>
    <t>? 3,011,981</t>
  </si>
  <si>
    <t>? 35,139</t>
  </si>
  <si>
    <t>? 2,092,169</t>
  </si>
  <si>
    <t>? 132,227</t>
  </si>
  <si>
    <t>? 1,439,934</t>
  </si>
  <si>
    <t>? 57,921</t>
  </si>
  <si>
    <t>? 1,810,451</t>
  </si>
  <si>
    <t>? 123,017</t>
  </si>
  <si>
    <t>? 5,356,819</t>
  </si>
  <si>
    <t>? 140,065</t>
  </si>
  <si>
    <t>? 6,510,696</t>
  </si>
  <si>
    <t>? 196,117</t>
  </si>
  <si>
    <t>? 4,520,782</t>
  </si>
  <si>
    <t>? 40,657</t>
  </si>
  <si>
    <t>? 1,007,449</t>
  </si>
  <si>
    <t>? 42,903</t>
  </si>
  <si>
    <t>? 564,840</t>
  </si>
  <si>
    <t>? 189,072</t>
  </si>
  <si>
    <t>? 6,367,802</t>
  </si>
  <si>
    <t>? 123,943</t>
  </si>
  <si>
    <t>? 2,536,624</t>
  </si>
  <si>
    <t>? 169,210</t>
  </si>
  <si>
    <t>? 1,194,708</t>
  </si>
  <si>
    <t>? 217,968</t>
  </si>
  <si>
    <t>? 3,957,313</t>
  </si>
  <si>
    <t>? 147,597</t>
  </si>
  <si>
    <t>? 2,727,577</t>
  </si>
  <si>
    <t>? 118,812</t>
  </si>
  <si>
    <t>? 2,681,533</t>
  </si>
  <si>
    <t>? 142,697</t>
  </si>
  <si>
    <t>? 2,825,372</t>
  </si>
  <si>
    <t>? 31,628</t>
  </si>
  <si>
    <t>? 642,831</t>
  </si>
  <si>
    <t>? 138,100</t>
  </si>
  <si>
    <t>? 2,251,051</t>
  </si>
  <si>
    <t>? 123,849</t>
  </si>
  <si>
    <t>? 2,990,117</t>
  </si>
  <si>
    <t>? 111,617</t>
  </si>
  <si>
    <t>? 3,367,905</t>
  </si>
  <si>
    <t>? 163,800</t>
  </si>
  <si>
    <t>? 2,978,653</t>
  </si>
  <si>
    <t>? 35,763</t>
  </si>
  <si>
    <t>? 1,837,128</t>
  </si>
  <si>
    <t>? 55,075</t>
  </si>
  <si>
    <t>? 1,536,942</t>
  </si>
  <si>
    <t>? 137,455</t>
  </si>
  <si>
    <t>? 2,658,068</t>
  </si>
  <si>
    <t>? 129,801</t>
  </si>
  <si>
    <t>? 3,083,696</t>
  </si>
  <si>
    <t>? 61,086</t>
  </si>
  <si>
    <t>? 2,830,035</t>
  </si>
  <si>
    <t>? 39,768</t>
  </si>
  <si>
    <t>? 1,548,093</t>
  </si>
  <si>
    <t>? 78,874</t>
  </si>
  <si>
    <t>? 867,565</t>
  </si>
  <si>
    <t>? 81,668</t>
  </si>
  <si>
    <t>? 2,031,836</t>
  </si>
  <si>
    <t>? 81,484</t>
  </si>
  <si>
    <t>? 3,091,571</t>
  </si>
  <si>
    <t>? 143,229</t>
  </si>
  <si>
    <t>? 6,633,392</t>
  </si>
  <si>
    <t>? 71,547</t>
  </si>
  <si>
    <t>? 4,297,340</t>
  </si>
  <si>
    <t>? 74,278</t>
  </si>
  <si>
    <t>? 1,181,975</t>
  </si>
  <si>
    <t>? 284,889</t>
  </si>
  <si>
    <t>? 11,577,296</t>
  </si>
  <si>
    <t>? 49,214</t>
  </si>
  <si>
    <t>? 2,410,737</t>
  </si>
  <si>
    <t>? 79,831</t>
  </si>
  <si>
    <t>? 692,151</t>
  </si>
  <si>
    <t>? 70,780</t>
  </si>
  <si>
    <t>? 1,258,576</t>
  </si>
  <si>
    <t>? 37,105</t>
  </si>
  <si>
    <t>? 1,030,119</t>
  </si>
  <si>
    <t>? 207,424</t>
  </si>
  <si>
    <t>? 4,028,445</t>
  </si>
  <si>
    <t>? 78,290</t>
  </si>
  <si>
    <t>? 2,346,719</t>
  </si>
  <si>
    <t>? 67,190</t>
  </si>
  <si>
    <t>? 3,326,521</t>
  </si>
  <si>
    <t>? 68,079</t>
  </si>
  <si>
    <t>? 1,653,603</t>
  </si>
  <si>
    <t>? 113,365</t>
  </si>
  <si>
    <t>? 5,029,868</t>
  </si>
  <si>
    <t>? 105,631</t>
  </si>
  <si>
    <t>? 3,700,569</t>
  </si>
  <si>
    <t>? 108,116</t>
  </si>
  <si>
    <t>? 2,625,145</t>
  </si>
  <si>
    <t>? 74,427</t>
  </si>
  <si>
    <t>? 1,368,571</t>
  </si>
  <si>
    <t>? 140,622</t>
  </si>
  <si>
    <t>? 7,367,765</t>
  </si>
  <si>
    <t>? 156,283</t>
  </si>
  <si>
    <t>? 4,945,753</t>
  </si>
  <si>
    <t>? 92,319</t>
  </si>
  <si>
    <t>? 795,253</t>
  </si>
  <si>
    <t>? 101,671</t>
  </si>
  <si>
    <t>? 4,200,194</t>
  </si>
  <si>
    <t>? 174,371</t>
  </si>
  <si>
    <t>? 6,056,441</t>
  </si>
  <si>
    <t>? 93,561</t>
  </si>
  <si>
    <t>? 2,941,653</t>
  </si>
  <si>
    <t>? 135,105</t>
  </si>
  <si>
    <t>? 2,328,048</t>
  </si>
  <si>
    <t>? 179,629</t>
  </si>
  <si>
    <t>? 4,703,748</t>
  </si>
  <si>
    <t>? 87,088</t>
  </si>
  <si>
    <t>? 4,550,063</t>
  </si>
  <si>
    <t>? 201,254</t>
  </si>
  <si>
    <t>? 5,172,876</t>
  </si>
  <si>
    <t>? 97,758</t>
  </si>
  <si>
    <t>? 602,707</t>
  </si>
  <si>
    <t>? 97,293</t>
  </si>
  <si>
    <t>? 2,485,360</t>
  </si>
  <si>
    <t>? 136,255</t>
  </si>
  <si>
    <t>? 3,682,669</t>
  </si>
  <si>
    <t>? 188,439</t>
  </si>
  <si>
    <t>? 4,032,011</t>
  </si>
  <si>
    <t>? 56,260</t>
  </si>
  <si>
    <t>? 3,403,229</t>
  </si>
  <si>
    <t>? 81,008</t>
  </si>
  <si>
    <t>? 1,443,401</t>
  </si>
  <si>
    <t>? 245,885</t>
  </si>
  <si>
    <t>? 3,687,397</t>
  </si>
  <si>
    <t>? 237,908</t>
  </si>
  <si>
    <t>? 7,686,272</t>
  </si>
  <si>
    <t>? 134,142</t>
  </si>
  <si>
    <t>? 1,833,932</t>
  </si>
  <si>
    <t>? 204,935</t>
  </si>
  <si>
    <t>? 2,057,875</t>
  </si>
  <si>
    <t>? 59,665</t>
  </si>
  <si>
    <t>? 761,452</t>
  </si>
  <si>
    <t>? 201,829</t>
  </si>
  <si>
    <t>? 2,389,204</t>
  </si>
  <si>
    <t>? 130,079</t>
  </si>
  <si>
    <t>? 1,460,236</t>
  </si>
  <si>
    <t>? 68,198</t>
  </si>
  <si>
    <t>? 1,772,957</t>
  </si>
  <si>
    <t>? 74,337</t>
  </si>
  <si>
    <t>? 1,467,961</t>
  </si>
  <si>
    <t>? 58,482</t>
  </si>
  <si>
    <t>? 1,379,402</t>
  </si>
  <si>
    <t>? 104,867</t>
  </si>
  <si>
    <t>? 3,305,229</t>
  </si>
  <si>
    <t>? 35,917</t>
  </si>
  <si>
    <t>? 1,254,290</t>
  </si>
  <si>
    <t>? 178,162</t>
  </si>
  <si>
    <t>? 4,800,374</t>
  </si>
  <si>
    <t>? 101,062</t>
  </si>
  <si>
    <t>? 951,963</t>
  </si>
  <si>
    <t>? 148,343</t>
  </si>
  <si>
    <t>? 5,872,468</t>
  </si>
  <si>
    <t>? 40,196</t>
  </si>
  <si>
    <t>? 1,662,472</t>
  </si>
  <si>
    <t>? 98,500</t>
  </si>
  <si>
    <t>? 1,157,268</t>
  </si>
  <si>
    <t>? 214,029</t>
  </si>
  <si>
    <t>? 8,518,494</t>
  </si>
  <si>
    <t>? 93,165</t>
  </si>
  <si>
    <t>? 4,778,047</t>
  </si>
  <si>
    <t>? 172,286</t>
  </si>
  <si>
    <t>? 4,380,214</t>
  </si>
  <si>
    <t>? 166,573</t>
  </si>
  <si>
    <t>? 5,819,811</t>
  </si>
  <si>
    <t>? 177,196</t>
  </si>
  <si>
    <t>? 4,455,321</t>
  </si>
  <si>
    <t>? 100,656</t>
  </si>
  <si>
    <t>? 4,478,373</t>
  </si>
  <si>
    <t>? 214,087</t>
  </si>
  <si>
    <t>? 2,364,929</t>
  </si>
  <si>
    <t>? 107,824</t>
  </si>
  <si>
    <t>? 4,731,469</t>
  </si>
  <si>
    <t>? 37,945</t>
  </si>
  <si>
    <t>? 641,297</t>
  </si>
  <si>
    <t>? 83,018</t>
  </si>
  <si>
    <t>? 3,155,987</t>
  </si>
  <si>
    <t>? 92,410</t>
  </si>
  <si>
    <t>? 4,047,072</t>
  </si>
  <si>
    <t>? 56,902</t>
  </si>
  <si>
    <t>? 917,613</t>
  </si>
  <si>
    <t>? 106,057</t>
  </si>
  <si>
    <t>? 6,164,864</t>
  </si>
  <si>
    <t>? 69,361</t>
  </si>
  <si>
    <t>? 1,831,892</t>
  </si>
  <si>
    <t>? 70,156</t>
  </si>
  <si>
    <t>? 1,136,109</t>
  </si>
  <si>
    <t>? 93,060</t>
  </si>
  <si>
    <t>? 1,626,664</t>
  </si>
  <si>
    <t>? 61,992</t>
  </si>
  <si>
    <t>? 2,863,429</t>
  </si>
  <si>
    <t>? 145,045</t>
  </si>
  <si>
    <t>? 4,987,054</t>
  </si>
  <si>
    <t>? 152,035</t>
  </si>
  <si>
    <t>? 2,102,560</t>
  </si>
  <si>
    <t>AD002</t>
  </si>
  <si>
    <t>MBA Admission</t>
  </si>
  <si>
    <t>Facebook</t>
  </si>
  <si>
    <t>2135 Age</t>
  </si>
  <si>
    <t>? 180,456</t>
  </si>
  <si>
    <t>? 4,208,818</t>
  </si>
  <si>
    <t>? 276,282</t>
  </si>
  <si>
    <t>? 6,468,438</t>
  </si>
  <si>
    <t>? 80,170</t>
  </si>
  <si>
    <t>? 2,531,629</t>
  </si>
  <si>
    <t>? 144,247</t>
  </si>
  <si>
    <t>? 2,806,122</t>
  </si>
  <si>
    <t>? 67,772</t>
  </si>
  <si>
    <t>? 2,349,380</t>
  </si>
  <si>
    <t>? 274,488</t>
  </si>
  <si>
    <t>? 1,491,751</t>
  </si>
  <si>
    <t>? 226,645</t>
  </si>
  <si>
    <t>? 2,792,260</t>
  </si>
  <si>
    <t>? 62,523</t>
  </si>
  <si>
    <t>? 1,032,514</t>
  </si>
  <si>
    <t>? 116,823</t>
  </si>
  <si>
    <t>? 2,987,312</t>
  </si>
  <si>
    <t>? 51,519</t>
  </si>
  <si>
    <t>? 2,149,275</t>
  </si>
  <si>
    <t>? 133,968</t>
  </si>
  <si>
    <t>? 4,993,434</t>
  </si>
  <si>
    <t>? 119,604</t>
  </si>
  <si>
    <t>? 2,530,464</t>
  </si>
  <si>
    <t>? 223,350</t>
  </si>
  <si>
    <t>? 7,253,636</t>
  </si>
  <si>
    <t>? 97,271</t>
  </si>
  <si>
    <t>? 1,785,615</t>
  </si>
  <si>
    <t>? 58,564</t>
  </si>
  <si>
    <t>? 529,564</t>
  </si>
  <si>
    <t>? 121,039</t>
  </si>
  <si>
    <t>? 2,196,417</t>
  </si>
  <si>
    <t>? 228,072</t>
  </si>
  <si>
    <t>? 4,909,074</t>
  </si>
  <si>
    <t>? 100,524</t>
  </si>
  <si>
    <t>? 897,404</t>
  </si>
  <si>
    <t>? 24,424</t>
  </si>
  <si>
    <t>? 722,680</t>
  </si>
  <si>
    <t>? 101,892</t>
  </si>
  <si>
    <t>? 1,320,648</t>
  </si>
  <si>
    <t>? 51,644</t>
  </si>
  <si>
    <t>? 862,353</t>
  </si>
  <si>
    <t>? 149,264</t>
  </si>
  <si>
    <t>? 7,035,403</t>
  </si>
  <si>
    <t>? 80,142</t>
  </si>
  <si>
    <t>? 1,535,750</t>
  </si>
  <si>
    <t>? 22,690</t>
  </si>
  <si>
    <t>? 1,129,548</t>
  </si>
  <si>
    <t>? 101,926</t>
  </si>
  <si>
    <t>? 1,859,497</t>
  </si>
  <si>
    <t>? 241,711</t>
  </si>
  <si>
    <t>? 10,422,583</t>
  </si>
  <si>
    <t>? 187,568</t>
  </si>
  <si>
    <t>? 2,602,263</t>
  </si>
  <si>
    <t>? 156,086</t>
  </si>
  <si>
    <t>? 3,922,073</t>
  </si>
  <si>
    <t>? 86,527</t>
  </si>
  <si>
    <t>? 937,903</t>
  </si>
  <si>
    <t>? 223,804</t>
  </si>
  <si>
    <t>? 5,348,862</t>
  </si>
  <si>
    <t>? 190,014</t>
  </si>
  <si>
    <t>? 4,634,332</t>
  </si>
  <si>
    <t>? 111,777</t>
  </si>
  <si>
    <t>? 2,526,118</t>
  </si>
  <si>
    <t>? 109,112</t>
  </si>
  <si>
    <t>? 3,266,643</t>
  </si>
  <si>
    <t>? 197,983</t>
  </si>
  <si>
    <t>? 4,085,032</t>
  </si>
  <si>
    <t>? 45,541</t>
  </si>
  <si>
    <t>? 698,668</t>
  </si>
  <si>
    <t>? 67,379</t>
  </si>
  <si>
    <t>? 3,182,834</t>
  </si>
  <si>
    <t>? 61,224</t>
  </si>
  <si>
    <t>? 3,212,616</t>
  </si>
  <si>
    <t>? 171,711</t>
  </si>
  <si>
    <t>? 1,435,656</t>
  </si>
  <si>
    <t>? 74,195</t>
  </si>
  <si>
    <t>? 2,531,864</t>
  </si>
  <si>
    <t>? 123,281</t>
  </si>
  <si>
    <t>? 2,911,292</t>
  </si>
  <si>
    <t>? 25,074</t>
  </si>
  <si>
    <t>? 1,266,942</t>
  </si>
  <si>
    <t>? 54,959</t>
  </si>
  <si>
    <t>? 941,034</t>
  </si>
  <si>
    <t>? 99,135</t>
  </si>
  <si>
    <t>? 1,580,448</t>
  </si>
  <si>
    <t>? 202,855</t>
  </si>
  <si>
    <t>? 4,698,879</t>
  </si>
  <si>
    <t>? 87,585</t>
  </si>
  <si>
    <t>? 2,275,198</t>
  </si>
  <si>
    <t>? 69,380</t>
  </si>
  <si>
    <t>? 1,003,969</t>
  </si>
  <si>
    <t>? 209,519</t>
  </si>
  <si>
    <t>? 3,096,991</t>
  </si>
  <si>
    <t>? 81,201</t>
  </si>
  <si>
    <t>? 1,255,932</t>
  </si>
  <si>
    <t>? 160,449</t>
  </si>
  <si>
    <t>? 1,422,894</t>
  </si>
  <si>
    <t>? 167,628</t>
  </si>
  <si>
    <t>? 3,363,822</t>
  </si>
  <si>
    <t>? 75,782</t>
  </si>
  <si>
    <t>? 2,142,554</t>
  </si>
  <si>
    <t>? 149,089</t>
  </si>
  <si>
    <t>? 8,726,521</t>
  </si>
  <si>
    <t>? 70,026</t>
  </si>
  <si>
    <t>? 3,944,516</t>
  </si>
  <si>
    <t>? 156,886</t>
  </si>
  <si>
    <t>? 7,149,954</t>
  </si>
  <si>
    <t>? 103,431</t>
  </si>
  <si>
    <t>? 1,353,200</t>
  </si>
  <si>
    <t>? 77,910</t>
  </si>
  <si>
    <t>? 3,240,631</t>
  </si>
  <si>
    <t>? 128,715</t>
  </si>
  <si>
    <t>? 2,105,893</t>
  </si>
  <si>
    <t>? 144,783</t>
  </si>
  <si>
    <t>? 3,534,997</t>
  </si>
  <si>
    <t>? 213,044</t>
  </si>
  <si>
    <t>? 5,794,496</t>
  </si>
  <si>
    <t>? 161,174</t>
  </si>
  <si>
    <t>? 4,380,151</t>
  </si>
  <si>
    <t>? 111,414</t>
  </si>
  <si>
    <t>? 2,807,015</t>
  </si>
  <si>
    <t>? 46,054</t>
  </si>
  <si>
    <t>? 664,446</t>
  </si>
  <si>
    <t>? 107,638</t>
  </si>
  <si>
    <t>? 1,673,093</t>
  </si>
  <si>
    <t>? 69,690</t>
  </si>
  <si>
    <t>? 1,849,660</t>
  </si>
  <si>
    <t>? 53,641</t>
  </si>
  <si>
    <t>? 668,676</t>
  </si>
  <si>
    <t>? 224,943</t>
  </si>
  <si>
    <t>? 3,479,855</t>
  </si>
  <si>
    <t>? 192,239</t>
  </si>
  <si>
    <t>? 3,767,178</t>
  </si>
  <si>
    <t>? 101,942</t>
  </si>
  <si>
    <t>? 3,405,727</t>
  </si>
  <si>
    <t>? 108,919</t>
  </si>
  <si>
    <t>? 1,641,516</t>
  </si>
  <si>
    <t>? 97,654</t>
  </si>
  <si>
    <t>? 1,586,488</t>
  </si>
  <si>
    <t>? 79,600</t>
  </si>
  <si>
    <t>? 1,126,491</t>
  </si>
  <si>
    <t>? 199,080</t>
  </si>
  <si>
    <t>? 5,513,048</t>
  </si>
  <si>
    <t>? 111,946</t>
  </si>
  <si>
    <t>? 2,482,397</t>
  </si>
  <si>
    <t>? 184,409</t>
  </si>
  <si>
    <t>? 2,219,085</t>
  </si>
  <si>
    <t>? 35,364</t>
  </si>
  <si>
    <t>? 1,423,039</t>
  </si>
  <si>
    <t>? 241,882</t>
  </si>
  <si>
    <t>? 4,227,410</t>
  </si>
  <si>
    <t>? 131,425</t>
  </si>
  <si>
    <t>? 1,614,620</t>
  </si>
  <si>
    <t>? 163,441</t>
  </si>
  <si>
    <t>? 4,081,467</t>
  </si>
  <si>
    <t>? 164,277</t>
  </si>
  <si>
    <t>? 1,544,375</t>
  </si>
  <si>
    <t>? 79,711</t>
  </si>
  <si>
    <t>? 2,166,582</t>
  </si>
  <si>
    <t>? 167,494</t>
  </si>
  <si>
    <t>? 1,293,759</t>
  </si>
  <si>
    <t>? 41,121</t>
  </si>
  <si>
    <t>? 556,625</t>
  </si>
  <si>
    <t>? 147,277</t>
  </si>
  <si>
    <t>? 7,040,895</t>
  </si>
  <si>
    <t>? 97,101</t>
  </si>
  <si>
    <t>? 2,733,839</t>
  </si>
  <si>
    <t>? 138,967</t>
  </si>
  <si>
    <t>? 3,706,915</t>
  </si>
  <si>
    <t>? 235,594</t>
  </si>
  <si>
    <t>? 5,070,650</t>
  </si>
  <si>
    <t>? 36,555</t>
  </si>
  <si>
    <t>? 944,562</t>
  </si>
  <si>
    <t>? 51,333</t>
  </si>
  <si>
    <t>? 1,062,504</t>
  </si>
  <si>
    <t>? 84,474</t>
  </si>
  <si>
    <t>? 1,445,950</t>
  </si>
  <si>
    <t>? 86,687</t>
  </si>
  <si>
    <t>? 1,924,916</t>
  </si>
  <si>
    <t>? 23,226</t>
  </si>
  <si>
    <t>? 639,600</t>
  </si>
  <si>
    <t>? 47,761</t>
  </si>
  <si>
    <t>? 1,085,518</t>
  </si>
  <si>
    <t>? 63,224</t>
  </si>
  <si>
    <t>? 1,366,952</t>
  </si>
  <si>
    <t>? 150,892</t>
  </si>
  <si>
    <t>? 8,181,786</t>
  </si>
  <si>
    <t>? 47,812</t>
  </si>
  <si>
    <t>? 1,401,844</t>
  </si>
  <si>
    <t>? 267,574</t>
  </si>
  <si>
    <t>? 2,450,852</t>
  </si>
  <si>
    <t>? 145,135</t>
  </si>
  <si>
    <t>? 3,166,145</t>
  </si>
  <si>
    <t>? 114,990</t>
  </si>
  <si>
    <t>? 3,955,862</t>
  </si>
  <si>
    <t>? 178,984</t>
  </si>
  <si>
    <t>? 4,945,617</t>
  </si>
  <si>
    <t>? 163,582</t>
  </si>
  <si>
    <t>? 5,486,851</t>
  </si>
  <si>
    <t>? 154,590</t>
  </si>
  <si>
    <t>? 3,499,060</t>
  </si>
  <si>
    <t>? 160,690</t>
  </si>
  <si>
    <t>? 3,236,188</t>
  </si>
  <si>
    <t>? 65,416</t>
  </si>
  <si>
    <t>? 2,144,560</t>
  </si>
  <si>
    <t>? 145,083</t>
  </si>
  <si>
    <t>? 1,468,397</t>
  </si>
  <si>
    <t>? 133,175</t>
  </si>
  <si>
    <t>? 4,227,791</t>
  </si>
  <si>
    <t>? 43,222</t>
  </si>
  <si>
    <t>? 1,323,601</t>
  </si>
  <si>
    <t>? 61,170</t>
  </si>
  <si>
    <t>? 1,645,197</t>
  </si>
  <si>
    <t>? 81,536</t>
  </si>
  <si>
    <t>? 1,996,808</t>
  </si>
  <si>
    <t>? 209,811</t>
  </si>
  <si>
    <t>? 4,054,986</t>
  </si>
  <si>
    <t>? 104,215</t>
  </si>
  <si>
    <t>? 2,367,563</t>
  </si>
  <si>
    <t>? 52,428</t>
  </si>
  <si>
    <t>? 1,269,806</t>
  </si>
  <si>
    <t>? 24,580</t>
  </si>
  <si>
    <t>? 524,653</t>
  </si>
  <si>
    <t>? 149,648</t>
  </si>
  <si>
    <t>? 2,135,225</t>
  </si>
  <si>
    <t>? 221,471</t>
  </si>
  <si>
    <t>? 8,555,770</t>
  </si>
  <si>
    <t>? 41,675</t>
  </si>
  <si>
    <t>? 2,247,548</t>
  </si>
  <si>
    <t>? 47,889</t>
  </si>
  <si>
    <t>? 980,730</t>
  </si>
  <si>
    <t>? 101,190</t>
  </si>
  <si>
    <t>? 4,473,022</t>
  </si>
  <si>
    <t>? 82,010</t>
  </si>
  <si>
    <t>? 2,689,713</t>
  </si>
  <si>
    <t>? 197,363</t>
  </si>
  <si>
    <t>? 2,266,273</t>
  </si>
  <si>
    <t>? 100,965</t>
  </si>
  <si>
    <t>? 1,835,902</t>
  </si>
  <si>
    <t>? 91,235</t>
  </si>
  <si>
    <t>? 1,337,660</t>
  </si>
  <si>
    <t>? 159,534</t>
  </si>
  <si>
    <t>? 2,405,412</t>
  </si>
  <si>
    <t>? 81,381</t>
  </si>
  <si>
    <t>? 2,009,706</t>
  </si>
  <si>
    <t>? 72,603</t>
  </si>
  <si>
    <t>? 791,071</t>
  </si>
  <si>
    <t>? 64,655</t>
  </si>
  <si>
    <t>? 1,107,201</t>
  </si>
  <si>
    <t>? 254,929</t>
  </si>
  <si>
    <t>? 4,693,041</t>
  </si>
  <si>
    <t>? 241,422</t>
  </si>
  <si>
    <t>? 3,218,248</t>
  </si>
  <si>
    <t>? 258,735</t>
  </si>
  <si>
    <t>? 1,603,909</t>
  </si>
  <si>
    <t>? 152,142</t>
  </si>
  <si>
    <t>? 2,267,468</t>
  </si>
  <si>
    <t>? 141,390</t>
  </si>
  <si>
    <t>? 3,060,298</t>
  </si>
  <si>
    <t>? 148,549</t>
  </si>
  <si>
    <t>? 4,182,575</t>
  </si>
  <si>
    <t>? 55,979</t>
  </si>
  <si>
    <t>? 1,264,913</t>
  </si>
  <si>
    <t>? 104,015</t>
  </si>
  <si>
    <t>? 3,787,589</t>
  </si>
  <si>
    <t>? 155,529</t>
  </si>
  <si>
    <t>? 3,706,021</t>
  </si>
  <si>
    <t>? 45,471</t>
  </si>
  <si>
    <t>? 1,842,642</t>
  </si>
  <si>
    <t>? 142,185</t>
  </si>
  <si>
    <t>? 5,142,499</t>
  </si>
  <si>
    <t>? 87,179</t>
  </si>
  <si>
    <t>? 2,116,901</t>
  </si>
  <si>
    <t>? 68,482</t>
  </si>
  <si>
    <t>? 2,965,372</t>
  </si>
  <si>
    <t>? 67,879</t>
  </si>
  <si>
    <t>? 6,203,500</t>
  </si>
  <si>
    <t>? 97,561</t>
  </si>
  <si>
    <t>? 2,504,595</t>
  </si>
  <si>
    <t>? 101,459</t>
  </si>
  <si>
    <t>? 3,422,258</t>
  </si>
  <si>
    <t>? 204,861</t>
  </si>
  <si>
    <t>? 2,934,887</t>
  </si>
  <si>
    <t>? 85,981</t>
  </si>
  <si>
    <t>? 2,514,071</t>
  </si>
  <si>
    <t>? 51,459</t>
  </si>
  <si>
    <t>? 887,744</t>
  </si>
  <si>
    <t>? 59,444</t>
  </si>
  <si>
    <t>? 833,257</t>
  </si>
  <si>
    <t>? 125,713</t>
  </si>
  <si>
    <t>? 3,892,044</t>
  </si>
  <si>
    <t>? 53,693</t>
  </si>
  <si>
    <t>? 2,444,732</t>
  </si>
  <si>
    <t>? 258,352</t>
  </si>
  <si>
    <t>? 3,167,583</t>
  </si>
  <si>
    <t>? 99,989</t>
  </si>
  <si>
    <t>? 2,721,880</t>
  </si>
  <si>
    <t>? 138,919</t>
  </si>
  <si>
    <t>? 3,426,291</t>
  </si>
  <si>
    <t>? 201,326</t>
  </si>
  <si>
    <t>? 2,668,479</t>
  </si>
  <si>
    <t>? 81,570</t>
  </si>
  <si>
    <t>? 1,780,403</t>
  </si>
  <si>
    <t>? 196,671</t>
  </si>
  <si>
    <t>? 5,676,011</t>
  </si>
  <si>
    <t>? 246,806</t>
  </si>
  <si>
    <t>? 4,206,185</t>
  </si>
  <si>
    <t>? 93,964</t>
  </si>
  <si>
    <t>? 1,201,913</t>
  </si>
  <si>
    <t>? 61,069</t>
  </si>
  <si>
    <t>? 943,624</t>
  </si>
  <si>
    <t>? 144,170</t>
  </si>
  <si>
    <t>? 6,122,971</t>
  </si>
  <si>
    <t>? 110,817</t>
  </si>
  <si>
    <t>? 5,569,955</t>
  </si>
  <si>
    <t>? 184,335</t>
  </si>
  <si>
    <t>? 5,829,282</t>
  </si>
  <si>
    <t>? 116,672</t>
  </si>
  <si>
    <t>? 1,995,280</t>
  </si>
  <si>
    <t>? 126,647</t>
  </si>
  <si>
    <t>? 2,242,704</t>
  </si>
  <si>
    <t>? 156,011</t>
  </si>
  <si>
    <t>? 3,701,255</t>
  </si>
  <si>
    <t>? 68,352</t>
  </si>
  <si>
    <t>? 1,710,347</t>
  </si>
  <si>
    <t>? 221,405</t>
  </si>
  <si>
    <t>? 3,264,776</t>
  </si>
  <si>
    <t>? 43,282</t>
  </si>
  <si>
    <t>? 505,160</t>
  </si>
  <si>
    <t>? 74,481</t>
  </si>
  <si>
    <t>? 656,001</t>
  </si>
  <si>
    <t>? 164,748</t>
  </si>
  <si>
    <t>? 4,031,732</t>
  </si>
  <si>
    <t>? 91,580</t>
  </si>
  <si>
    <t>? 1,951,224</t>
  </si>
  <si>
    <t>? 89,794</t>
  </si>
  <si>
    <t>? 2,201,670</t>
  </si>
  <si>
    <t>? 77,122</t>
  </si>
  <si>
    <t>? 992,341</t>
  </si>
  <si>
    <t>? 90,692</t>
  </si>
  <si>
    <t>? 1,466,996</t>
  </si>
  <si>
    <t>? 93,532</t>
  </si>
  <si>
    <t>? 2,116,995</t>
  </si>
  <si>
    <t>? 193,741</t>
  </si>
  <si>
    <t>? 8,258,759</t>
  </si>
  <si>
    <t>? 120,119</t>
  </si>
  <si>
    <t>? 3,111,027</t>
  </si>
  <si>
    <t>? 121,243</t>
  </si>
  <si>
    <t>? 4,131,057</t>
  </si>
  <si>
    <t>? 106,683</t>
  </si>
  <si>
    <t>? 987,968</t>
  </si>
  <si>
    <t>? 2,126,630</t>
  </si>
  <si>
    <t>? 123,955</t>
  </si>
  <si>
    <t>? 3,933,315</t>
  </si>
  <si>
    <t>? 153,644</t>
  </si>
  <si>
    <t>? 4,620,520</t>
  </si>
  <si>
    <t>? 184,629</t>
  </si>
  <si>
    <t>? 5,541,723</t>
  </si>
  <si>
    <t>? 40,525</t>
  </si>
  <si>
    <t>? 774,682</t>
  </si>
  <si>
    <t>? 70,943</t>
  </si>
  <si>
    <t>? 1,046,903</t>
  </si>
  <si>
    <t>? 179,225</t>
  </si>
  <si>
    <t>? 2,698,271</t>
  </si>
  <si>
    <t>? 114,033</t>
  </si>
  <si>
    <t>? 3,043,418</t>
  </si>
  <si>
    <t>? 77,183</t>
  </si>
  <si>
    <t>? 921,081</t>
  </si>
  <si>
    <t>? 154,239</t>
  </si>
  <si>
    <t>? 3,986,006</t>
  </si>
  <si>
    <t>? 81,879</t>
  </si>
  <si>
    <t>? 2,002,746</t>
  </si>
  <si>
    <t>? 125,866</t>
  </si>
  <si>
    <t>? 2,149,461</t>
  </si>
  <si>
    <t>? 248,428</t>
  </si>
  <si>
    <t>? 5,043,351</t>
  </si>
  <si>
    <t>? 92,102</t>
  </si>
  <si>
    <t>? 2,994,089</t>
  </si>
  <si>
    <t>? 161,078</t>
  </si>
  <si>
    <t>? 9,344,119</t>
  </si>
  <si>
    <t>? 105,225</t>
  </si>
  <si>
    <t>? 3,490,888</t>
  </si>
  <si>
    <t>? 97,230</t>
  </si>
  <si>
    <t>? 1,191,628</t>
  </si>
  <si>
    <t>? 54,234</t>
  </si>
  <si>
    <t>? 815,080</t>
  </si>
  <si>
    <t>? 53,956</t>
  </si>
  <si>
    <t>? 475,327</t>
  </si>
  <si>
    <t>? 95,285</t>
  </si>
  <si>
    <t>? 1,968,745</t>
  </si>
  <si>
    <t>? 34,218</t>
  </si>
  <si>
    <t>? 450,838</t>
  </si>
  <si>
    <t>? 91,490</t>
  </si>
  <si>
    <t>? 2,452,250</t>
  </si>
  <si>
    <t>? 153,865</t>
  </si>
  <si>
    <t>? 5,620,586</t>
  </si>
  <si>
    <t>? 111,858</t>
  </si>
  <si>
    <t>? 2,520,661</t>
  </si>
  <si>
    <t>? 235,450</t>
  </si>
  <si>
    <t>? 5,481,452</t>
  </si>
  <si>
    <t>? 30,551</t>
  </si>
  <si>
    <t>? 1,890,047</t>
  </si>
  <si>
    <t>? 54,841</t>
  </si>
  <si>
    <t>? 399,317</t>
  </si>
  <si>
    <t>? 217,577</t>
  </si>
  <si>
    <t>? 2,824,587</t>
  </si>
  <si>
    <t>? 132,525</t>
  </si>
  <si>
    <t>? 2,665,107</t>
  </si>
  <si>
    <t>? 115,613</t>
  </si>
  <si>
    <t>? 1,867,784</t>
  </si>
  <si>
    <t>? 147,197</t>
  </si>
  <si>
    <t>? 4,576,964</t>
  </si>
  <si>
    <t>? 46,275</t>
  </si>
  <si>
    <t>? 1,760,207</t>
  </si>
  <si>
    <t>? 80,603</t>
  </si>
  <si>
    <t>? 1,777,848</t>
  </si>
  <si>
    <t>? 46,483</t>
  </si>
  <si>
    <t>? 2,244,804</t>
  </si>
  <si>
    <t>? 242,232</t>
  </si>
  <si>
    <t>? 5,399,981</t>
  </si>
  <si>
    <t>? 129,504</t>
  </si>
  <si>
    <t>? 3,403,497</t>
  </si>
  <si>
    <t>? 79,012</t>
  </si>
  <si>
    <t>? 1,224,216</t>
  </si>
  <si>
    <t>? 200,506</t>
  </si>
  <si>
    <t>? 7,007,981</t>
  </si>
  <si>
    <t>? 251,059</t>
  </si>
  <si>
    <t>? 6,675,312</t>
  </si>
  <si>
    <t>year</t>
  </si>
  <si>
    <t>month</t>
  </si>
  <si>
    <t>Cost (₹)</t>
  </si>
  <si>
    <t>Revenue (₹)</t>
  </si>
  <si>
    <t>CTR(click through rate)</t>
  </si>
  <si>
    <t>CPL(cost per click)</t>
  </si>
  <si>
    <t>ROAS</t>
  </si>
  <si>
    <t>cpc</t>
  </si>
  <si>
    <t>cpm</t>
  </si>
  <si>
    <t>roi</t>
  </si>
  <si>
    <t>17–21 Age</t>
  </si>
  <si>
    <t>22–27 Age</t>
  </si>
  <si>
    <t>25–35 Age</t>
  </si>
  <si>
    <t>21–35 Age</t>
  </si>
  <si>
    <t>CAMPAIGNMETA</t>
  </si>
  <si>
    <t>Channel</t>
  </si>
  <si>
    <t>AvgCPM</t>
  </si>
  <si>
    <t>AvgCPC</t>
  </si>
  <si>
    <t>Remarks</t>
  </si>
  <si>
    <t>High search volume</t>
  </si>
  <si>
    <t>Engagement focused</t>
  </si>
  <si>
    <t>Professional targeting</t>
  </si>
  <si>
    <t>Video rich</t>
  </si>
  <si>
    <t>Youth appeal</t>
  </si>
  <si>
    <t>CAMPAIGN PERFORMANCE</t>
  </si>
  <si>
    <t>Objective</t>
  </si>
  <si>
    <t>StartDate</t>
  </si>
  <si>
    <t>EndDate</t>
  </si>
  <si>
    <t>Budget (₹)</t>
  </si>
  <si>
    <t>Campaign Type</t>
  </si>
  <si>
    <t>Creative Type</t>
  </si>
  <si>
    <t>Manager</t>
  </si>
  <si>
    <t>Conversion Goal</t>
  </si>
  <si>
    <t>Lead Generation</t>
  </si>
  <si>
    <t>Paid Search</t>
  </si>
  <si>
    <t>Static Ads</t>
  </si>
  <si>
    <t>Priya</t>
  </si>
  <si>
    <t>Application</t>
  </si>
  <si>
    <t>Admissions</t>
  </si>
  <si>
    <t>Paid Social</t>
  </si>
  <si>
    <t>Video</t>
  </si>
  <si>
    <t>Rohit</t>
  </si>
  <si>
    <t>Lead</t>
  </si>
  <si>
    <t>Career Promotion</t>
  </si>
  <si>
    <t>Professional Networking</t>
  </si>
  <si>
    <t>Carousel</t>
  </si>
  <si>
    <t>Ananya</t>
  </si>
  <si>
    <t>Placement</t>
  </si>
  <si>
    <t>Brand Awareness</t>
  </si>
  <si>
    <t>Event Marketing</t>
  </si>
  <si>
    <t>Arjun</t>
  </si>
  <si>
    <t>Registration</t>
  </si>
  <si>
    <t>Student Exchange</t>
  </si>
  <si>
    <t>Social Media</t>
  </si>
  <si>
    <t>Reels</t>
  </si>
  <si>
    <t>Megha</t>
  </si>
  <si>
    <t>Employee ID</t>
  </si>
  <si>
    <t>Name</t>
  </si>
  <si>
    <t>Department</t>
  </si>
  <si>
    <t>Salary</t>
  </si>
  <si>
    <t>Location</t>
  </si>
  <si>
    <t>Experience</t>
  </si>
  <si>
    <t>E101</t>
  </si>
  <si>
    <t>Rahul</t>
  </si>
  <si>
    <t>Marketing</t>
  </si>
  <si>
    <t>Pune</t>
  </si>
  <si>
    <t>Q1</t>
  </si>
  <si>
    <t>E102</t>
  </si>
  <si>
    <t>HR</t>
  </si>
  <si>
    <t>Mumbai</t>
  </si>
  <si>
    <t>Q6</t>
  </si>
  <si>
    <t>E103</t>
  </si>
  <si>
    <t>Amit</t>
  </si>
  <si>
    <t>Finance</t>
  </si>
  <si>
    <t>Delhi</t>
  </si>
  <si>
    <r>
      <t xml:space="preserve">Find the </t>
    </r>
    <r>
      <rPr>
        <b/>
        <sz val="11"/>
        <color theme="1"/>
        <rFont val="Calibri"/>
        <charset val="134"/>
        <scheme val="minor"/>
      </rPr>
      <t>Name</t>
    </r>
    <r>
      <rPr>
        <sz val="11"/>
        <color theme="1"/>
        <rFont val="Calibri"/>
        <charset val="134"/>
        <scheme val="minor"/>
      </rPr>
      <t xml:space="preserve"> of employee </t>
    </r>
    <r>
      <rPr>
        <sz val="11"/>
        <color theme="1"/>
        <rFont val="Calibri"/>
        <charset val="134"/>
        <scheme val="minor"/>
      </rPr>
      <t>E104</t>
    </r>
    <r>
      <rPr>
        <sz val="11"/>
        <color theme="1"/>
        <rFont val="Calibri"/>
        <charset val="134"/>
        <scheme val="minor"/>
      </rPr>
      <t>.</t>
    </r>
  </si>
  <si>
    <t>E104</t>
  </si>
  <si>
    <t>Sneha</t>
  </si>
  <si>
    <t>IT</t>
  </si>
  <si>
    <r>
      <t xml:space="preserve">Find the </t>
    </r>
    <r>
      <rPr>
        <b/>
        <sz val="11"/>
        <color theme="1"/>
        <rFont val="Calibri"/>
        <charset val="134"/>
        <scheme val="minor"/>
      </rPr>
      <t>Employee ID</t>
    </r>
    <r>
      <rPr>
        <sz val="11"/>
        <color theme="1"/>
        <rFont val="Calibri"/>
        <charset val="134"/>
        <scheme val="minor"/>
      </rPr>
      <t xml:space="preserve"> of </t>
    </r>
    <r>
      <rPr>
        <b/>
        <sz val="11"/>
        <color theme="1"/>
        <rFont val="Calibri"/>
        <charset val="134"/>
        <scheme val="minor"/>
      </rPr>
      <t>Sneha</t>
    </r>
    <r>
      <rPr>
        <sz val="11"/>
        <color theme="1"/>
        <rFont val="Calibri"/>
        <charset val="134"/>
        <scheme val="minor"/>
      </rPr>
      <t>.</t>
    </r>
  </si>
  <si>
    <t>E105</t>
  </si>
  <si>
    <t>Sales</t>
  </si>
  <si>
    <t>Bangalore</t>
  </si>
  <si>
    <t>Q2</t>
  </si>
  <si>
    <t>sneha</t>
  </si>
  <si>
    <t>E106</t>
  </si>
  <si>
    <t>Neha</t>
  </si>
  <si>
    <t>Q7</t>
  </si>
  <si>
    <t>E107</t>
  </si>
  <si>
    <t>Rohan</t>
  </si>
  <si>
    <r>
      <t xml:space="preserve">Find the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of employee </t>
    </r>
    <r>
      <rPr>
        <sz val="11"/>
        <color theme="1"/>
        <rFont val="Calibri"/>
        <charset val="134"/>
        <scheme val="minor"/>
      </rPr>
      <t>E107</t>
    </r>
    <r>
      <rPr>
        <sz val="11"/>
        <color theme="1"/>
        <rFont val="Calibri"/>
        <charset val="134"/>
        <scheme val="minor"/>
      </rPr>
      <t>.</t>
    </r>
  </si>
  <si>
    <t>E108</t>
  </si>
  <si>
    <t>Anjali</t>
  </si>
  <si>
    <r>
      <t xml:space="preserve">Find the </t>
    </r>
    <r>
      <rPr>
        <b/>
        <sz val="11"/>
        <color theme="1"/>
        <rFont val="Calibri"/>
        <charset val="134"/>
        <scheme val="minor"/>
      </rPr>
      <t>Employee ID</t>
    </r>
    <r>
      <rPr>
        <sz val="11"/>
        <color theme="1"/>
        <rFont val="Calibri"/>
        <charset val="134"/>
        <scheme val="minor"/>
      </rPr>
      <t xml:space="preserve"> of </t>
    </r>
    <r>
      <rPr>
        <b/>
        <sz val="11"/>
        <color theme="1"/>
        <rFont val="Calibri"/>
        <charset val="134"/>
        <scheme val="minor"/>
      </rPr>
      <t>Pooja</t>
    </r>
    <r>
      <rPr>
        <sz val="11"/>
        <color theme="1"/>
        <rFont val="Calibri"/>
        <charset val="134"/>
        <scheme val="minor"/>
      </rPr>
      <t>.</t>
    </r>
  </si>
  <si>
    <t>E109</t>
  </si>
  <si>
    <t>Karan</t>
  </si>
  <si>
    <t>Q3</t>
  </si>
  <si>
    <t>pooja</t>
  </si>
  <si>
    <t>E110</t>
  </si>
  <si>
    <t>Pooja</t>
  </si>
  <si>
    <t>Q8</t>
  </si>
  <si>
    <r>
      <t xml:space="preserve">Find the </t>
    </r>
    <r>
      <rPr>
        <b/>
        <sz val="11"/>
        <color theme="1"/>
        <rFont val="Calibri"/>
        <charset val="134"/>
        <scheme val="minor"/>
      </rPr>
      <t>Department</t>
    </r>
    <r>
      <rPr>
        <sz val="11"/>
        <color theme="1"/>
        <rFont val="Calibri"/>
        <charset val="134"/>
        <scheme val="minor"/>
      </rPr>
      <t xml:space="preserve"> of employee </t>
    </r>
    <r>
      <rPr>
        <sz val="11"/>
        <color theme="1"/>
        <rFont val="Calibri"/>
        <charset val="134"/>
        <scheme val="minor"/>
      </rPr>
      <t>E105</t>
    </r>
    <r>
      <rPr>
        <sz val="11"/>
        <color theme="1"/>
        <rFont val="Calibri"/>
        <charset val="134"/>
        <scheme val="minor"/>
      </rPr>
      <t>.</t>
    </r>
  </si>
  <si>
    <r>
      <t xml:space="preserve">Find the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of </t>
    </r>
    <r>
      <rPr>
        <b/>
        <sz val="11"/>
        <color theme="1"/>
        <rFont val="Calibri"/>
        <charset val="134"/>
        <scheme val="minor"/>
      </rPr>
      <t>Anjali</t>
    </r>
    <r>
      <rPr>
        <sz val="11"/>
        <color theme="1"/>
        <rFont val="Calibri"/>
        <charset val="134"/>
        <scheme val="minor"/>
      </rPr>
      <t>.</t>
    </r>
  </si>
  <si>
    <t>Q9</t>
  </si>
  <si>
    <t>Q4</t>
  </si>
  <si>
    <t>anjali</t>
  </si>
  <si>
    <r>
      <t xml:space="preserve">Search for employee ID </t>
    </r>
    <r>
      <rPr>
        <sz val="11"/>
        <color theme="1"/>
        <rFont val="Calibri"/>
        <charset val="134"/>
        <scheme val="minor"/>
      </rPr>
      <t>E115</t>
    </r>
    <r>
      <rPr>
        <sz val="11"/>
        <color theme="1"/>
        <rFont val="Calibri"/>
        <charset val="134"/>
        <scheme val="minor"/>
      </rPr>
      <t>.</t>
    </r>
  </si>
  <si>
    <r>
      <t xml:space="preserve">Find the </t>
    </r>
    <r>
      <rPr>
        <b/>
        <sz val="11"/>
        <color theme="1"/>
        <rFont val="Calibri"/>
        <charset val="134"/>
        <scheme val="minor"/>
      </rPr>
      <t>Location</t>
    </r>
    <r>
      <rPr>
        <sz val="11"/>
        <color theme="1"/>
        <rFont val="Calibri"/>
        <charset val="134"/>
        <scheme val="minor"/>
      </rPr>
      <t xml:space="preserve"> of employee </t>
    </r>
    <r>
      <rPr>
        <sz val="11"/>
        <color theme="1"/>
        <rFont val="Calibri"/>
        <charset val="134"/>
        <scheme val="minor"/>
      </rPr>
      <t>E102</t>
    </r>
    <r>
      <rPr>
        <sz val="11"/>
        <color theme="1"/>
        <rFont val="Calibri"/>
        <charset val="134"/>
        <scheme val="minor"/>
      </rPr>
      <t>.</t>
    </r>
  </si>
  <si>
    <t>If the employee doesn't exist, display:</t>
  </si>
  <si>
    <t>E115</t>
  </si>
  <si>
    <t>"Employee Not Found"</t>
  </si>
  <si>
    <r>
      <t xml:space="preserve">Find the </t>
    </r>
    <r>
      <rPr>
        <b/>
        <sz val="11"/>
        <color theme="1"/>
        <rFont val="Calibri"/>
        <charset val="134"/>
        <scheme val="minor"/>
      </rPr>
      <t>Experience</t>
    </r>
    <r>
      <rPr>
        <sz val="11"/>
        <color theme="1"/>
        <rFont val="Calibri"/>
        <charset val="134"/>
        <scheme val="minor"/>
      </rPr>
      <t xml:space="preserve"> of employee </t>
    </r>
    <r>
      <rPr>
        <sz val="11"/>
        <color theme="1"/>
        <rFont val="Calibri"/>
        <charset val="134"/>
        <scheme val="minor"/>
      </rPr>
      <t>E109</t>
    </r>
    <r>
      <rPr>
        <sz val="11"/>
        <color theme="1"/>
        <rFont val="Calibri"/>
        <charset val="134"/>
        <scheme val="minor"/>
      </rPr>
      <t>.</t>
    </r>
  </si>
  <si>
    <t>NAME</t>
  </si>
  <si>
    <t>DEPARTMENT</t>
  </si>
  <si>
    <t>SALARY</t>
  </si>
  <si>
    <t>Q14 — Multiple information ⭐</t>
  </si>
  <si>
    <t>SNEHA</t>
  </si>
  <si>
    <r>
      <t xml:space="preserve">Using </t>
    </r>
    <r>
      <rPr>
        <b/>
        <sz val="11"/>
        <color theme="1"/>
        <rFont val="Calibri"/>
        <charset val="134"/>
        <scheme val="minor"/>
      </rPr>
      <t>one XLOOKUP</t>
    </r>
    <r>
      <rPr>
        <sz val="11"/>
        <color theme="1"/>
        <rFont val="Calibri"/>
        <charset val="134"/>
        <scheme val="minor"/>
      </rPr>
      <t>, return the employee's:</t>
    </r>
  </si>
  <si>
    <t xml:space="preserve"> </t>
  </si>
  <si>
    <t>Name + Department + Salary</t>
  </si>
  <si>
    <r>
      <t xml:space="preserve">For example, if </t>
    </r>
    <r>
      <rPr>
        <sz val="11"/>
        <color theme="1"/>
        <rFont val="Calibri"/>
        <charset val="134"/>
        <scheme val="minor"/>
      </rPr>
      <t>H2 = E104</t>
    </r>
    <r>
      <rPr>
        <sz val="11"/>
        <color theme="1"/>
        <rFont val="Calibri"/>
        <charset val="134"/>
        <scheme val="minor"/>
      </rPr>
      <t>, your result should return:</t>
    </r>
  </si>
  <si>
    <t>Sneha | IT | 55000</t>
  </si>
  <si>
    <t>This is a slightly more advanced use of XLOOKUP because you're returning multiple columns.</t>
  </si>
  <si>
    <t>Old Salary</t>
  </si>
  <si>
    <t>Updated Salary</t>
  </si>
  <si>
    <t>Not Found</t>
  </si>
  <si>
    <t>New Salary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</si>
</sst>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&quot;₹&quot;\ #,##0"/>
    <numFmt numFmtId="180" formatCode="dd\-m\-yyyy"/>
    <numFmt numFmtId="181" formatCode="0_);[Red]\(0\)"/>
    <numFmt numFmtId="182" formatCode="yyyy\-mm\-dd"/>
    <numFmt numFmtId="183" formatCode="0.00_);[Red]\(0.00\)"/>
    <numFmt numFmtId="184" formatCode="0.00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double">
        <color theme="5"/>
      </bottom>
      <diagonal/>
    </border>
    <border>
      <left/>
      <right/>
      <top style="thin">
        <color theme="5"/>
      </top>
      <bottom style="double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/>
    <xf numFmtId="0" fontId="1" fillId="0" borderId="0" xfId="0" applyFont="1"/>
    <xf numFmtId="0" fontId="0" fillId="2" borderId="0" xfId="0" applyFill="1" applyAlignment="1">
      <alignment horizontal="center"/>
    </xf>
    <xf numFmtId="0" fontId="3" fillId="3" borderId="1" xfId="0" applyNumberFormat="1" applyFont="1" applyFill="1" applyBorder="1" applyAlignment="1" applyProtection="1">
      <alignment horizontal="center" vertical="top"/>
    </xf>
    <xf numFmtId="178" fontId="3" fillId="3" borderId="1" xfId="0" applyNumberFormat="1" applyFont="1" applyFill="1" applyBorder="1" applyAlignment="1" applyProtection="1">
      <alignment horizontal="center" vertical="top"/>
    </xf>
    <xf numFmtId="179" fontId="3" fillId="3" borderId="1" xfId="0" applyNumberFormat="1" applyFont="1" applyFill="1" applyBorder="1" applyAlignment="1" applyProtection="1">
      <alignment horizontal="center" vertical="top"/>
    </xf>
    <xf numFmtId="0" fontId="0" fillId="4" borderId="2" xfId="0" applyNumberFormat="1" applyFont="1" applyFill="1" applyBorder="1" applyAlignment="1" applyProtection="1"/>
    <xf numFmtId="0" fontId="0" fillId="4" borderId="3" xfId="0" applyNumberFormat="1" applyFont="1" applyFill="1" applyBorder="1" applyAlignment="1" applyProtection="1"/>
    <xf numFmtId="58" fontId="0" fillId="4" borderId="3" xfId="0" applyNumberFormat="1" applyFont="1" applyFill="1" applyBorder="1" applyAlignment="1" applyProtection="1"/>
    <xf numFmtId="180" fontId="0" fillId="4" borderId="3" xfId="0" applyNumberFormat="1" applyFont="1" applyFill="1" applyBorder="1" applyAlignment="1" applyProtection="1"/>
    <xf numFmtId="179" fontId="0" fillId="4" borderId="3" xfId="0" applyNumberFormat="1" applyFont="1" applyFill="1" applyBorder="1" applyAlignment="1" applyProtection="1"/>
    <xf numFmtId="0" fontId="0" fillId="4" borderId="4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/>
    <xf numFmtId="0" fontId="0" fillId="0" borderId="3" xfId="0" applyNumberFormat="1" applyFont="1" applyFill="1" applyBorder="1" applyAlignment="1" applyProtection="1"/>
    <xf numFmtId="58" fontId="0" fillId="0" borderId="3" xfId="0" applyNumberFormat="1" applyFont="1" applyFill="1" applyBorder="1" applyAlignment="1" applyProtection="1"/>
    <xf numFmtId="180" fontId="0" fillId="0" borderId="3" xfId="0" applyNumberFormat="1" applyFont="1" applyFill="1" applyBorder="1" applyAlignment="1" applyProtection="1"/>
    <xf numFmtId="179" fontId="0" fillId="0" borderId="3" xfId="0" applyNumberFormat="1" applyFont="1" applyFill="1" applyBorder="1" applyAlignment="1" applyProtection="1"/>
    <xf numFmtId="0" fontId="0" fillId="0" borderId="4" xfId="0" applyNumberFormat="1" applyFont="1" applyFill="1" applyBorder="1" applyAlignment="1" applyProtection="1"/>
    <xf numFmtId="0" fontId="3" fillId="3" borderId="1" xfId="0" applyNumberFormat="1" applyFont="1" applyFill="1" applyBorder="1" applyAlignment="1">
      <alignment horizontal="center" vertical="top"/>
    </xf>
    <xf numFmtId="181" fontId="3" fillId="3" borderId="1" xfId="0" applyNumberFormat="1" applyFont="1" applyFill="1" applyBorder="1" applyAlignment="1" applyProtection="1">
      <alignment horizontal="center" vertical="top"/>
    </xf>
    <xf numFmtId="181" fontId="3" fillId="3" borderId="1" xfId="0" applyNumberFormat="1" applyFont="1" applyFill="1" applyBorder="1" applyAlignment="1">
      <alignment horizontal="center" vertical="top"/>
    </xf>
    <xf numFmtId="179" fontId="3" fillId="3" borderId="1" xfId="0" applyNumberFormat="1" applyFont="1" applyFill="1" applyBorder="1" applyAlignment="1">
      <alignment horizontal="center" vertical="top"/>
    </xf>
    <xf numFmtId="9" fontId="0" fillId="0" borderId="0" xfId="3" applyAlignment="1"/>
    <xf numFmtId="182" fontId="0" fillId="4" borderId="2" xfId="0" applyNumberFormat="1" applyFont="1" applyFill="1" applyBorder="1" applyAlignment="1"/>
    <xf numFmtId="0" fontId="0" fillId="4" borderId="3" xfId="0" applyNumberFormat="1" applyFont="1" applyFill="1" applyBorder="1" applyAlignment="1"/>
    <xf numFmtId="181" fontId="0" fillId="0" borderId="3" xfId="0" applyNumberFormat="1" applyFont="1" applyFill="1" applyBorder="1" applyAlignment="1" applyProtection="1"/>
    <xf numFmtId="181" fontId="0" fillId="4" borderId="3" xfId="0" applyNumberFormat="1" applyFont="1" applyFill="1" applyBorder="1" applyAlignment="1"/>
    <xf numFmtId="179" fontId="0" fillId="4" borderId="3" xfId="0" applyNumberFormat="1" applyFont="1" applyFill="1" applyBorder="1" applyAlignment="1"/>
    <xf numFmtId="183" fontId="0" fillId="0" borderId="0" xfId="0" applyNumberFormat="1"/>
    <xf numFmtId="179" fontId="0" fillId="0" borderId="0" xfId="0" applyNumberFormat="1"/>
    <xf numFmtId="184" fontId="0" fillId="0" borderId="0" xfId="0" applyNumberFormat="1"/>
    <xf numFmtId="0" fontId="0" fillId="0" borderId="0" xfId="0" applyAlignment="1">
      <alignment wrapText="1"/>
    </xf>
    <xf numFmtId="182" fontId="0" fillId="0" borderId="2" xfId="0" applyNumberFormat="1" applyFont="1" applyBorder="1" applyAlignment="1"/>
    <xf numFmtId="0" fontId="0" fillId="0" borderId="3" xfId="0" applyNumberFormat="1" applyFont="1" applyBorder="1" applyAlignment="1"/>
    <xf numFmtId="181" fontId="0" fillId="0" borderId="3" xfId="0" applyNumberFormat="1" applyFont="1" applyBorder="1" applyAlignment="1"/>
    <xf numFmtId="179" fontId="0" fillId="0" borderId="3" xfId="0" applyNumberFormat="1" applyFont="1" applyBorder="1" applyAlignment="1"/>
    <xf numFmtId="182" fontId="0" fillId="4" borderId="5" xfId="0" applyNumberFormat="1" applyFont="1" applyFill="1" applyBorder="1" applyAlignment="1"/>
    <xf numFmtId="0" fontId="0" fillId="4" borderId="6" xfId="0" applyNumberFormat="1" applyFont="1" applyFill="1" applyBorder="1" applyAlignment="1"/>
    <xf numFmtId="181" fontId="0" fillId="0" borderId="6" xfId="0" applyNumberFormat="1" applyFont="1" applyFill="1" applyBorder="1" applyAlignment="1" applyProtection="1"/>
    <xf numFmtId="181" fontId="0" fillId="4" borderId="6" xfId="0" applyNumberFormat="1" applyFont="1" applyFill="1" applyBorder="1" applyAlignment="1"/>
    <xf numFmtId="179" fontId="0" fillId="4" borderId="6" xfId="0" applyNumberFormat="1" applyFont="1" applyFill="1" applyBorder="1" applyAlignment="1"/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4"/>
  <sheetViews>
    <sheetView workbookViewId="0">
      <selection activeCell="E2" sqref="E2"/>
    </sheetView>
  </sheetViews>
  <sheetFormatPr defaultColWidth="8.88888888888889" defaultRowHeight="14.4"/>
  <cols>
    <col min="1" max="4" width="10" style="46"/>
    <col min="5" max="5" width="14.8888888888889" style="46" customWidth="1"/>
    <col min="6" max="10" width="10" style="46"/>
    <col min="11" max="11" width="9.44444444444444" style="46" customWidth="1"/>
    <col min="12" max="12" width="12.1111111111111" style="46" customWidth="1"/>
    <col min="13" max="13" width="10" style="46"/>
  </cols>
  <sheetData>
    <row r="1" spans="1:13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</row>
    <row r="2" spans="1:13">
      <c r="A2" s="47">
        <v>45292</v>
      </c>
      <c r="B2" s="46" t="s">
        <v>13</v>
      </c>
      <c r="C2" s="46" t="s">
        <v>14</v>
      </c>
      <c r="D2" s="46" t="s">
        <v>15</v>
      </c>
      <c r="E2" s="46" t="s">
        <v>16</v>
      </c>
      <c r="F2" s="46">
        <v>285708</v>
      </c>
      <c r="G2" s="46">
        <v>16956</v>
      </c>
      <c r="H2" s="46">
        <v>4087</v>
      </c>
      <c r="I2" s="46">
        <v>2547</v>
      </c>
      <c r="J2" s="46">
        <v>1148</v>
      </c>
      <c r="K2" s="46" t="s">
        <v>17</v>
      </c>
      <c r="L2" s="46" t="s">
        <v>18</v>
      </c>
      <c r="M2" s="46" t="s">
        <v>19</v>
      </c>
    </row>
    <row r="3" spans="1:13">
      <c r="A3" s="47">
        <v>45293</v>
      </c>
      <c r="B3" s="46" t="s">
        <v>13</v>
      </c>
      <c r="C3" s="46" t="s">
        <v>14</v>
      </c>
      <c r="D3" s="46" t="s">
        <v>15</v>
      </c>
      <c r="E3" s="46" t="s">
        <v>16</v>
      </c>
      <c r="F3" s="46">
        <v>140449</v>
      </c>
      <c r="G3" s="46">
        <v>10082</v>
      </c>
      <c r="H3" s="46">
        <v>1815</v>
      </c>
      <c r="I3" s="46">
        <v>951</v>
      </c>
      <c r="J3" s="46">
        <v>565</v>
      </c>
      <c r="K3" s="46" t="s">
        <v>20</v>
      </c>
      <c r="L3" s="46" t="s">
        <v>21</v>
      </c>
      <c r="M3" s="46" t="s">
        <v>22</v>
      </c>
    </row>
    <row r="4" spans="1:13">
      <c r="A4" s="47">
        <v>45294</v>
      </c>
      <c r="B4" s="46" t="s">
        <v>13</v>
      </c>
      <c r="C4" s="46" t="s">
        <v>14</v>
      </c>
      <c r="D4" s="46" t="s">
        <v>15</v>
      </c>
      <c r="E4" s="46" t="s">
        <v>16</v>
      </c>
      <c r="F4" s="46">
        <v>140958</v>
      </c>
      <c r="G4" s="46">
        <v>7474</v>
      </c>
      <c r="H4" s="46">
        <v>1169</v>
      </c>
      <c r="I4" s="46">
        <v>683</v>
      </c>
      <c r="J4" s="46">
        <v>343</v>
      </c>
      <c r="K4" s="46" t="s">
        <v>23</v>
      </c>
      <c r="L4" s="46" t="s">
        <v>24</v>
      </c>
      <c r="M4" s="46" t="s">
        <v>22</v>
      </c>
    </row>
    <row r="5" spans="1:13">
      <c r="A5" s="47">
        <v>45295</v>
      </c>
      <c r="B5" s="46" t="s">
        <v>13</v>
      </c>
      <c r="C5" s="46" t="s">
        <v>14</v>
      </c>
      <c r="D5" s="46" t="s">
        <v>15</v>
      </c>
      <c r="E5" s="46" t="s">
        <v>25</v>
      </c>
      <c r="F5" s="46">
        <v>257823</v>
      </c>
      <c r="G5" s="46">
        <v>16841</v>
      </c>
      <c r="H5" s="46">
        <v>3179</v>
      </c>
      <c r="I5" s="46">
        <v>1584</v>
      </c>
      <c r="J5" s="46">
        <v>698</v>
      </c>
      <c r="K5" s="46" t="s">
        <v>26</v>
      </c>
      <c r="L5" s="46" t="s">
        <v>27</v>
      </c>
      <c r="M5" s="46" t="s">
        <v>19</v>
      </c>
    </row>
    <row r="6" spans="1:13">
      <c r="A6" s="47">
        <v>45296</v>
      </c>
      <c r="B6" s="46" t="s">
        <v>13</v>
      </c>
      <c r="C6" s="46" t="s">
        <v>14</v>
      </c>
      <c r="D6" s="46" t="s">
        <v>15</v>
      </c>
      <c r="E6" s="46" t="s">
        <v>28</v>
      </c>
      <c r="F6" s="46">
        <v>98595</v>
      </c>
      <c r="G6" s="46">
        <v>7293</v>
      </c>
      <c r="H6" s="46">
        <v>1340</v>
      </c>
      <c r="I6" s="46">
        <v>854</v>
      </c>
      <c r="J6" s="46">
        <v>368</v>
      </c>
      <c r="K6" s="46" t="s">
        <v>29</v>
      </c>
      <c r="L6" s="46" t="s">
        <v>30</v>
      </c>
      <c r="M6" s="46" t="s">
        <v>19</v>
      </c>
    </row>
    <row r="7" spans="1:13">
      <c r="A7" s="47">
        <v>45297</v>
      </c>
      <c r="B7" s="46" t="s">
        <v>13</v>
      </c>
      <c r="C7" s="46" t="s">
        <v>14</v>
      </c>
      <c r="D7" s="46" t="s">
        <v>15</v>
      </c>
      <c r="E7" s="46" t="s">
        <v>25</v>
      </c>
      <c r="F7" s="46">
        <v>68114</v>
      </c>
      <c r="G7" s="46">
        <v>5377</v>
      </c>
      <c r="H7" s="46">
        <v>909</v>
      </c>
      <c r="I7" s="46">
        <v>505</v>
      </c>
      <c r="J7" s="46">
        <v>222</v>
      </c>
      <c r="K7" s="46" t="s">
        <v>31</v>
      </c>
      <c r="L7" s="46" t="s">
        <v>32</v>
      </c>
      <c r="M7" s="46" t="s">
        <v>22</v>
      </c>
    </row>
    <row r="8" spans="1:13">
      <c r="A8" s="47">
        <v>45298</v>
      </c>
      <c r="B8" s="46" t="s">
        <v>13</v>
      </c>
      <c r="C8" s="46" t="s">
        <v>14</v>
      </c>
      <c r="D8" s="46" t="s">
        <v>15</v>
      </c>
      <c r="E8" s="46" t="s">
        <v>16</v>
      </c>
      <c r="F8" s="46">
        <v>175572</v>
      </c>
      <c r="G8" s="46">
        <v>6855</v>
      </c>
      <c r="H8" s="46">
        <v>1452</v>
      </c>
      <c r="I8" s="46">
        <v>757</v>
      </c>
      <c r="J8" s="46">
        <v>346</v>
      </c>
      <c r="K8" s="46" t="s">
        <v>33</v>
      </c>
      <c r="L8" s="46" t="s">
        <v>34</v>
      </c>
      <c r="M8" s="46" t="s">
        <v>35</v>
      </c>
    </row>
    <row r="9" spans="1:13">
      <c r="A9" s="47">
        <v>45299</v>
      </c>
      <c r="B9" s="46" t="s">
        <v>13</v>
      </c>
      <c r="C9" s="46" t="s">
        <v>14</v>
      </c>
      <c r="D9" s="46" t="s">
        <v>15</v>
      </c>
      <c r="E9" s="46" t="s">
        <v>25</v>
      </c>
      <c r="F9" s="46">
        <v>231966</v>
      </c>
      <c r="G9" s="46">
        <v>9373</v>
      </c>
      <c r="H9" s="46">
        <v>1934</v>
      </c>
      <c r="I9" s="46">
        <v>1247</v>
      </c>
      <c r="J9" s="46">
        <v>553</v>
      </c>
      <c r="K9" s="46" t="s">
        <v>36</v>
      </c>
      <c r="L9" s="46" t="s">
        <v>37</v>
      </c>
      <c r="M9" s="46" t="s">
        <v>19</v>
      </c>
    </row>
    <row r="10" spans="1:13">
      <c r="A10" s="47">
        <v>45300</v>
      </c>
      <c r="B10" s="46" t="s">
        <v>13</v>
      </c>
      <c r="C10" s="46" t="s">
        <v>14</v>
      </c>
      <c r="D10" s="46" t="s">
        <v>15</v>
      </c>
      <c r="E10" s="46" t="s">
        <v>16</v>
      </c>
      <c r="F10" s="46">
        <v>281339</v>
      </c>
      <c r="G10" s="46">
        <v>12310</v>
      </c>
      <c r="H10" s="46">
        <v>2329</v>
      </c>
      <c r="I10" s="46">
        <v>1319</v>
      </c>
      <c r="J10" s="46">
        <v>734</v>
      </c>
      <c r="K10" s="46" t="s">
        <v>38</v>
      </c>
      <c r="L10" s="46" t="s">
        <v>39</v>
      </c>
      <c r="M10" s="46" t="s">
        <v>19</v>
      </c>
    </row>
    <row r="11" spans="1:13">
      <c r="A11" s="47">
        <v>45301</v>
      </c>
      <c r="B11" s="46" t="s">
        <v>13</v>
      </c>
      <c r="C11" s="46" t="s">
        <v>14</v>
      </c>
      <c r="D11" s="46" t="s">
        <v>15</v>
      </c>
      <c r="E11" s="46" t="s">
        <v>25</v>
      </c>
      <c r="F11" s="46">
        <v>98805</v>
      </c>
      <c r="G11" s="46">
        <v>6952</v>
      </c>
      <c r="H11" s="46">
        <v>1479</v>
      </c>
      <c r="I11" s="46">
        <v>955</v>
      </c>
      <c r="J11" s="46">
        <v>455</v>
      </c>
      <c r="K11" s="46" t="s">
        <v>40</v>
      </c>
      <c r="L11" s="46" t="s">
        <v>41</v>
      </c>
      <c r="M11" s="46" t="s">
        <v>22</v>
      </c>
    </row>
    <row r="12" spans="1:13">
      <c r="A12" s="47">
        <v>45302</v>
      </c>
      <c r="B12" s="46" t="s">
        <v>13</v>
      </c>
      <c r="C12" s="46" t="s">
        <v>14</v>
      </c>
      <c r="D12" s="46" t="s">
        <v>15</v>
      </c>
      <c r="E12" s="46" t="s">
        <v>28</v>
      </c>
      <c r="F12" s="46">
        <v>144093</v>
      </c>
      <c r="G12" s="46">
        <v>11451</v>
      </c>
      <c r="H12" s="46">
        <v>1776</v>
      </c>
      <c r="I12" s="46">
        <v>934</v>
      </c>
      <c r="J12" s="46">
        <v>480</v>
      </c>
      <c r="K12" s="46" t="s">
        <v>42</v>
      </c>
      <c r="L12" s="46" t="s">
        <v>43</v>
      </c>
      <c r="M12" s="46" t="s">
        <v>22</v>
      </c>
    </row>
    <row r="13" spans="1:13">
      <c r="A13" s="47">
        <v>45303</v>
      </c>
      <c r="B13" s="46" t="s">
        <v>13</v>
      </c>
      <c r="C13" s="46" t="s">
        <v>14</v>
      </c>
      <c r="D13" s="46" t="s">
        <v>15</v>
      </c>
      <c r="E13" s="46" t="s">
        <v>28</v>
      </c>
      <c r="F13" s="46">
        <v>158894</v>
      </c>
      <c r="G13" s="46">
        <v>6588</v>
      </c>
      <c r="H13" s="46">
        <v>1470</v>
      </c>
      <c r="I13" s="46">
        <v>867</v>
      </c>
      <c r="J13" s="46">
        <v>405</v>
      </c>
      <c r="K13" s="46" t="s">
        <v>44</v>
      </c>
      <c r="L13" s="46" t="s">
        <v>45</v>
      </c>
      <c r="M13" s="46" t="s">
        <v>46</v>
      </c>
    </row>
    <row r="14" spans="1:13">
      <c r="A14" s="47">
        <v>45304</v>
      </c>
      <c r="B14" s="46" t="s">
        <v>13</v>
      </c>
      <c r="C14" s="46" t="s">
        <v>14</v>
      </c>
      <c r="D14" s="46" t="s">
        <v>15</v>
      </c>
      <c r="E14" s="46" t="s">
        <v>28</v>
      </c>
      <c r="F14" s="46">
        <v>66250</v>
      </c>
      <c r="G14" s="46">
        <v>4921</v>
      </c>
      <c r="H14" s="46">
        <v>871</v>
      </c>
      <c r="I14" s="46">
        <v>392</v>
      </c>
      <c r="J14" s="46">
        <v>210</v>
      </c>
      <c r="K14" s="46" t="s">
        <v>47</v>
      </c>
      <c r="L14" s="46" t="s">
        <v>48</v>
      </c>
      <c r="M14" s="46" t="s">
        <v>22</v>
      </c>
    </row>
    <row r="15" spans="1:13">
      <c r="A15" s="47">
        <v>45305</v>
      </c>
      <c r="B15" s="46" t="s">
        <v>13</v>
      </c>
      <c r="C15" s="46" t="s">
        <v>14</v>
      </c>
      <c r="D15" s="46" t="s">
        <v>15</v>
      </c>
      <c r="E15" s="46" t="s">
        <v>28</v>
      </c>
      <c r="F15" s="46">
        <v>146445</v>
      </c>
      <c r="G15" s="46">
        <v>6570</v>
      </c>
      <c r="H15" s="46">
        <v>1466</v>
      </c>
      <c r="I15" s="46">
        <v>803</v>
      </c>
      <c r="J15" s="46">
        <v>436</v>
      </c>
      <c r="K15" s="46" t="s">
        <v>49</v>
      </c>
      <c r="L15" s="46" t="s">
        <v>50</v>
      </c>
      <c r="M15" s="46" t="s">
        <v>19</v>
      </c>
    </row>
    <row r="16" spans="1:13">
      <c r="A16" s="47">
        <v>45306</v>
      </c>
      <c r="B16" s="46" t="s">
        <v>13</v>
      </c>
      <c r="C16" s="46" t="s">
        <v>14</v>
      </c>
      <c r="D16" s="46" t="s">
        <v>15</v>
      </c>
      <c r="E16" s="46" t="s">
        <v>25</v>
      </c>
      <c r="F16" s="46">
        <v>95097</v>
      </c>
      <c r="G16" s="46">
        <v>7359</v>
      </c>
      <c r="H16" s="46">
        <v>1754</v>
      </c>
      <c r="I16" s="46">
        <v>1030</v>
      </c>
      <c r="J16" s="46">
        <v>512</v>
      </c>
      <c r="K16" s="46" t="s">
        <v>51</v>
      </c>
      <c r="L16" s="46" t="s">
        <v>52</v>
      </c>
      <c r="M16" s="46" t="s">
        <v>53</v>
      </c>
    </row>
    <row r="17" spans="1:13">
      <c r="A17" s="47">
        <v>45307</v>
      </c>
      <c r="B17" s="46" t="s">
        <v>13</v>
      </c>
      <c r="C17" s="46" t="s">
        <v>14</v>
      </c>
      <c r="D17" s="46" t="s">
        <v>15</v>
      </c>
      <c r="E17" s="46" t="s">
        <v>16</v>
      </c>
      <c r="F17" s="46">
        <v>234993</v>
      </c>
      <c r="G17" s="46">
        <v>13461</v>
      </c>
      <c r="H17" s="46">
        <v>2316</v>
      </c>
      <c r="I17" s="46">
        <v>1322</v>
      </c>
      <c r="J17" s="46">
        <v>778</v>
      </c>
      <c r="K17" s="46" t="s">
        <v>54</v>
      </c>
      <c r="L17" s="46" t="s">
        <v>55</v>
      </c>
      <c r="M17" s="46" t="s">
        <v>53</v>
      </c>
    </row>
    <row r="18" spans="1:13">
      <c r="A18" s="47">
        <v>45308</v>
      </c>
      <c r="B18" s="46" t="s">
        <v>13</v>
      </c>
      <c r="C18" s="46" t="s">
        <v>14</v>
      </c>
      <c r="D18" s="46" t="s">
        <v>15</v>
      </c>
      <c r="E18" s="46" t="s">
        <v>28</v>
      </c>
      <c r="F18" s="46">
        <v>72601</v>
      </c>
      <c r="G18" s="46">
        <v>4823</v>
      </c>
      <c r="H18" s="46">
        <v>859</v>
      </c>
      <c r="I18" s="46">
        <v>471</v>
      </c>
      <c r="J18" s="46">
        <v>224</v>
      </c>
      <c r="K18" s="46" t="s">
        <v>56</v>
      </c>
      <c r="L18" s="46" t="s">
        <v>57</v>
      </c>
      <c r="M18" s="46" t="s">
        <v>19</v>
      </c>
    </row>
    <row r="19" spans="1:13">
      <c r="A19" s="47">
        <v>45309</v>
      </c>
      <c r="B19" s="46" t="s">
        <v>13</v>
      </c>
      <c r="C19" s="46" t="s">
        <v>14</v>
      </c>
      <c r="D19" s="46" t="s">
        <v>15</v>
      </c>
      <c r="E19" s="46" t="s">
        <v>16</v>
      </c>
      <c r="F19" s="46">
        <v>64854</v>
      </c>
      <c r="G19" s="46">
        <v>3268</v>
      </c>
      <c r="H19" s="46">
        <v>774</v>
      </c>
      <c r="I19" s="46">
        <v>379</v>
      </c>
      <c r="J19" s="46">
        <v>187</v>
      </c>
      <c r="K19" s="46" t="s">
        <v>58</v>
      </c>
      <c r="L19" s="46" t="s">
        <v>59</v>
      </c>
      <c r="M19" s="46" t="s">
        <v>53</v>
      </c>
    </row>
    <row r="20" spans="1:13">
      <c r="A20" s="47">
        <v>45310</v>
      </c>
      <c r="B20" s="46" t="s">
        <v>13</v>
      </c>
      <c r="C20" s="46" t="s">
        <v>14</v>
      </c>
      <c r="D20" s="46" t="s">
        <v>15</v>
      </c>
      <c r="E20" s="46" t="s">
        <v>28</v>
      </c>
      <c r="F20" s="46">
        <v>140767</v>
      </c>
      <c r="G20" s="46">
        <v>7435</v>
      </c>
      <c r="H20" s="46">
        <v>1316</v>
      </c>
      <c r="I20" s="46">
        <v>748</v>
      </c>
      <c r="J20" s="46">
        <v>419</v>
      </c>
      <c r="K20" s="46" t="s">
        <v>60</v>
      </c>
      <c r="L20" s="46" t="s">
        <v>61</v>
      </c>
      <c r="M20" s="46" t="s">
        <v>46</v>
      </c>
    </row>
    <row r="21" spans="1:13">
      <c r="A21" s="47">
        <v>45311</v>
      </c>
      <c r="B21" s="46" t="s">
        <v>13</v>
      </c>
      <c r="C21" s="46" t="s">
        <v>14</v>
      </c>
      <c r="D21" s="46" t="s">
        <v>15</v>
      </c>
      <c r="E21" s="46" t="s">
        <v>25</v>
      </c>
      <c r="F21" s="46">
        <v>102564</v>
      </c>
      <c r="G21" s="46">
        <v>4036</v>
      </c>
      <c r="H21" s="46">
        <v>954</v>
      </c>
      <c r="I21" s="46">
        <v>619</v>
      </c>
      <c r="J21" s="46">
        <v>352</v>
      </c>
      <c r="K21" s="46" t="s">
        <v>62</v>
      </c>
      <c r="L21" s="46" t="s">
        <v>63</v>
      </c>
      <c r="M21" s="46" t="s">
        <v>19</v>
      </c>
    </row>
    <row r="22" spans="1:13">
      <c r="A22" s="47">
        <v>45312</v>
      </c>
      <c r="B22" s="46" t="s">
        <v>13</v>
      </c>
      <c r="C22" s="46" t="s">
        <v>14</v>
      </c>
      <c r="D22" s="46" t="s">
        <v>15</v>
      </c>
      <c r="E22" s="46" t="s">
        <v>28</v>
      </c>
      <c r="F22" s="46">
        <v>99366</v>
      </c>
      <c r="G22" s="46">
        <v>6149</v>
      </c>
      <c r="H22" s="46">
        <v>1025</v>
      </c>
      <c r="I22" s="46">
        <v>585</v>
      </c>
      <c r="J22" s="46">
        <v>331</v>
      </c>
      <c r="K22" s="46" t="s">
        <v>64</v>
      </c>
      <c r="L22" s="46" t="s">
        <v>65</v>
      </c>
      <c r="M22" s="46" t="s">
        <v>35</v>
      </c>
    </row>
    <row r="23" spans="1:13">
      <c r="A23" s="47">
        <v>45313</v>
      </c>
      <c r="B23" s="46" t="s">
        <v>13</v>
      </c>
      <c r="C23" s="46" t="s">
        <v>14</v>
      </c>
      <c r="D23" s="46" t="s">
        <v>15</v>
      </c>
      <c r="E23" s="46" t="s">
        <v>16</v>
      </c>
      <c r="F23" s="46">
        <v>130732</v>
      </c>
      <c r="G23" s="46">
        <v>9877</v>
      </c>
      <c r="H23" s="46">
        <v>1815</v>
      </c>
      <c r="I23" s="46">
        <v>1127</v>
      </c>
      <c r="J23" s="46">
        <v>550</v>
      </c>
      <c r="K23" s="46" t="s">
        <v>66</v>
      </c>
      <c r="L23" s="46" t="s">
        <v>67</v>
      </c>
      <c r="M23" s="46" t="s">
        <v>46</v>
      </c>
    </row>
    <row r="24" spans="1:13">
      <c r="A24" s="47">
        <v>45314</v>
      </c>
      <c r="B24" s="46" t="s">
        <v>13</v>
      </c>
      <c r="C24" s="46" t="s">
        <v>14</v>
      </c>
      <c r="D24" s="46" t="s">
        <v>15</v>
      </c>
      <c r="E24" s="46" t="s">
        <v>25</v>
      </c>
      <c r="F24" s="46">
        <v>60282</v>
      </c>
      <c r="G24" s="46">
        <v>3890</v>
      </c>
      <c r="H24" s="46">
        <v>823</v>
      </c>
      <c r="I24" s="46">
        <v>440</v>
      </c>
      <c r="J24" s="46">
        <v>184</v>
      </c>
      <c r="K24" s="46" t="s">
        <v>68</v>
      </c>
      <c r="L24" s="46" t="s">
        <v>69</v>
      </c>
      <c r="M24" s="46" t="s">
        <v>35</v>
      </c>
    </row>
    <row r="25" spans="1:13">
      <c r="A25" s="47">
        <v>45315</v>
      </c>
      <c r="B25" s="46" t="s">
        <v>13</v>
      </c>
      <c r="C25" s="46" t="s">
        <v>14</v>
      </c>
      <c r="D25" s="46" t="s">
        <v>15</v>
      </c>
      <c r="E25" s="46" t="s">
        <v>25</v>
      </c>
      <c r="F25" s="46">
        <v>227987</v>
      </c>
      <c r="G25" s="46">
        <v>9955</v>
      </c>
      <c r="H25" s="46">
        <v>2151</v>
      </c>
      <c r="I25" s="46">
        <v>1233</v>
      </c>
      <c r="J25" s="46">
        <v>739</v>
      </c>
      <c r="K25" s="46" t="s">
        <v>70</v>
      </c>
      <c r="L25" s="46" t="s">
        <v>71</v>
      </c>
      <c r="M25" s="46" t="s">
        <v>22</v>
      </c>
    </row>
    <row r="26" spans="1:13">
      <c r="A26" s="47">
        <v>45316</v>
      </c>
      <c r="B26" s="46" t="s">
        <v>13</v>
      </c>
      <c r="C26" s="46" t="s">
        <v>14</v>
      </c>
      <c r="D26" s="46" t="s">
        <v>15</v>
      </c>
      <c r="E26" s="46" t="s">
        <v>25</v>
      </c>
      <c r="F26" s="46">
        <v>272168</v>
      </c>
      <c r="G26" s="46">
        <v>16989</v>
      </c>
      <c r="H26" s="46">
        <v>3561</v>
      </c>
      <c r="I26" s="46">
        <v>1864</v>
      </c>
      <c r="J26" s="46">
        <v>959</v>
      </c>
      <c r="K26" s="46" t="s">
        <v>72</v>
      </c>
      <c r="L26" s="46" t="s">
        <v>73</v>
      </c>
      <c r="M26" s="46" t="s">
        <v>19</v>
      </c>
    </row>
    <row r="27" spans="1:13">
      <c r="A27" s="47">
        <v>45317</v>
      </c>
      <c r="B27" s="46" t="s">
        <v>13</v>
      </c>
      <c r="C27" s="46" t="s">
        <v>14</v>
      </c>
      <c r="D27" s="46" t="s">
        <v>15</v>
      </c>
      <c r="E27" s="46" t="s">
        <v>16</v>
      </c>
      <c r="F27" s="46">
        <v>264817</v>
      </c>
      <c r="G27" s="46">
        <v>10684</v>
      </c>
      <c r="H27" s="46">
        <v>1820</v>
      </c>
      <c r="I27" s="46">
        <v>1080</v>
      </c>
      <c r="J27" s="46">
        <v>558</v>
      </c>
      <c r="K27" s="46" t="s">
        <v>74</v>
      </c>
      <c r="L27" s="46" t="s">
        <v>75</v>
      </c>
      <c r="M27" s="46" t="s">
        <v>22</v>
      </c>
    </row>
    <row r="28" spans="1:13">
      <c r="A28" s="47">
        <v>45318</v>
      </c>
      <c r="B28" s="46" t="s">
        <v>13</v>
      </c>
      <c r="C28" s="46" t="s">
        <v>14</v>
      </c>
      <c r="D28" s="46" t="s">
        <v>15</v>
      </c>
      <c r="E28" s="46" t="s">
        <v>25</v>
      </c>
      <c r="F28" s="46">
        <v>296970</v>
      </c>
      <c r="G28" s="46">
        <v>16468</v>
      </c>
      <c r="H28" s="46">
        <v>3817</v>
      </c>
      <c r="I28" s="46">
        <v>2120</v>
      </c>
      <c r="J28" s="46">
        <v>1220</v>
      </c>
      <c r="K28" s="46" t="s">
        <v>76</v>
      </c>
      <c r="L28" s="46" t="s">
        <v>77</v>
      </c>
      <c r="M28" s="46" t="s">
        <v>46</v>
      </c>
    </row>
    <row r="29" spans="1:13">
      <c r="A29" s="47">
        <v>45319</v>
      </c>
      <c r="B29" s="46" t="s">
        <v>13</v>
      </c>
      <c r="C29" s="46" t="s">
        <v>14</v>
      </c>
      <c r="D29" s="46" t="s">
        <v>15</v>
      </c>
      <c r="E29" s="46" t="s">
        <v>28</v>
      </c>
      <c r="F29" s="46">
        <v>280154</v>
      </c>
      <c r="G29" s="46">
        <v>13508</v>
      </c>
      <c r="H29" s="46">
        <v>2070</v>
      </c>
      <c r="I29" s="46">
        <v>1200</v>
      </c>
      <c r="J29" s="46">
        <v>490</v>
      </c>
      <c r="K29" s="46" t="s">
        <v>78</v>
      </c>
      <c r="L29" s="46" t="s">
        <v>79</v>
      </c>
      <c r="M29" s="46" t="s">
        <v>19</v>
      </c>
    </row>
    <row r="30" spans="1:13">
      <c r="A30" s="47">
        <v>45320</v>
      </c>
      <c r="B30" s="46" t="s">
        <v>13</v>
      </c>
      <c r="C30" s="46" t="s">
        <v>14</v>
      </c>
      <c r="D30" s="46" t="s">
        <v>15</v>
      </c>
      <c r="E30" s="46" t="s">
        <v>16</v>
      </c>
      <c r="F30" s="46">
        <v>246082</v>
      </c>
      <c r="G30" s="46">
        <v>9319</v>
      </c>
      <c r="H30" s="46">
        <v>1989</v>
      </c>
      <c r="I30" s="46">
        <v>960</v>
      </c>
      <c r="J30" s="46">
        <v>442</v>
      </c>
      <c r="K30" s="46" t="s">
        <v>80</v>
      </c>
      <c r="L30" s="46" t="s">
        <v>81</v>
      </c>
      <c r="M30" s="46" t="s">
        <v>35</v>
      </c>
    </row>
    <row r="31" spans="1:13">
      <c r="A31" s="47">
        <v>45321</v>
      </c>
      <c r="B31" s="46" t="s">
        <v>13</v>
      </c>
      <c r="C31" s="46" t="s">
        <v>14</v>
      </c>
      <c r="D31" s="46" t="s">
        <v>15</v>
      </c>
      <c r="E31" s="46" t="s">
        <v>28</v>
      </c>
      <c r="F31" s="46">
        <v>162479</v>
      </c>
      <c r="G31" s="46">
        <v>9378</v>
      </c>
      <c r="H31" s="46">
        <v>2210</v>
      </c>
      <c r="I31" s="46">
        <v>1154</v>
      </c>
      <c r="J31" s="46">
        <v>604</v>
      </c>
      <c r="K31" s="46" t="s">
        <v>82</v>
      </c>
      <c r="L31" s="46" t="s">
        <v>83</v>
      </c>
      <c r="M31" s="46" t="s">
        <v>46</v>
      </c>
    </row>
    <row r="32" spans="1:13">
      <c r="A32" s="47">
        <v>45322</v>
      </c>
      <c r="B32" s="46" t="s">
        <v>13</v>
      </c>
      <c r="C32" s="46" t="s">
        <v>14</v>
      </c>
      <c r="D32" s="46" t="s">
        <v>15</v>
      </c>
      <c r="E32" s="46" t="s">
        <v>25</v>
      </c>
      <c r="F32" s="46">
        <v>256182</v>
      </c>
      <c r="G32" s="46">
        <v>17232</v>
      </c>
      <c r="H32" s="46">
        <v>3397</v>
      </c>
      <c r="I32" s="46">
        <v>1850</v>
      </c>
      <c r="J32" s="46">
        <v>871</v>
      </c>
      <c r="K32" s="46" t="s">
        <v>84</v>
      </c>
      <c r="L32" s="46" t="s">
        <v>85</v>
      </c>
      <c r="M32" s="46" t="s">
        <v>53</v>
      </c>
    </row>
    <row r="33" spans="1:13">
      <c r="A33" s="47">
        <v>45323</v>
      </c>
      <c r="B33" s="46" t="s">
        <v>13</v>
      </c>
      <c r="C33" s="46" t="s">
        <v>14</v>
      </c>
      <c r="D33" s="46" t="s">
        <v>15</v>
      </c>
      <c r="E33" s="46" t="s">
        <v>25</v>
      </c>
      <c r="F33" s="46">
        <v>269710</v>
      </c>
      <c r="G33" s="46">
        <v>19961</v>
      </c>
      <c r="H33" s="46">
        <v>3100</v>
      </c>
      <c r="I33" s="46">
        <v>1479</v>
      </c>
      <c r="J33" s="46">
        <v>780</v>
      </c>
      <c r="K33" s="46" t="s">
        <v>86</v>
      </c>
      <c r="L33" s="46" t="s">
        <v>87</v>
      </c>
      <c r="M33" s="46" t="s">
        <v>53</v>
      </c>
    </row>
    <row r="34" spans="1:13">
      <c r="A34" s="47">
        <v>45324</v>
      </c>
      <c r="B34" s="46" t="s">
        <v>13</v>
      </c>
      <c r="C34" s="46" t="s">
        <v>14</v>
      </c>
      <c r="D34" s="46" t="s">
        <v>15</v>
      </c>
      <c r="E34" s="46" t="s">
        <v>16</v>
      </c>
      <c r="F34" s="46">
        <v>85354</v>
      </c>
      <c r="G34" s="46">
        <v>4637</v>
      </c>
      <c r="H34" s="46">
        <v>948</v>
      </c>
      <c r="I34" s="46">
        <v>471</v>
      </c>
      <c r="J34" s="46">
        <v>279</v>
      </c>
      <c r="K34" s="46" t="s">
        <v>88</v>
      </c>
      <c r="L34" s="46" t="s">
        <v>89</v>
      </c>
      <c r="M34" s="46" t="s">
        <v>46</v>
      </c>
    </row>
    <row r="35" spans="1:13">
      <c r="A35" s="47">
        <v>45325</v>
      </c>
      <c r="B35" s="46" t="s">
        <v>13</v>
      </c>
      <c r="C35" s="46" t="s">
        <v>14</v>
      </c>
      <c r="D35" s="46" t="s">
        <v>15</v>
      </c>
      <c r="E35" s="46" t="s">
        <v>16</v>
      </c>
      <c r="F35" s="46">
        <v>96853</v>
      </c>
      <c r="G35" s="46">
        <v>3046</v>
      </c>
      <c r="H35" s="46">
        <v>699</v>
      </c>
      <c r="I35" s="46">
        <v>327</v>
      </c>
      <c r="J35" s="46">
        <v>162</v>
      </c>
      <c r="K35" s="46" t="s">
        <v>90</v>
      </c>
      <c r="L35" s="46" t="s">
        <v>91</v>
      </c>
      <c r="M35" s="46" t="s">
        <v>22</v>
      </c>
    </row>
    <row r="36" spans="1:13">
      <c r="A36" s="47">
        <v>45326</v>
      </c>
      <c r="B36" s="46" t="s">
        <v>13</v>
      </c>
      <c r="C36" s="46" t="s">
        <v>14</v>
      </c>
      <c r="D36" s="46" t="s">
        <v>15</v>
      </c>
      <c r="E36" s="46" t="s">
        <v>16</v>
      </c>
      <c r="F36" s="46">
        <v>251547</v>
      </c>
      <c r="G36" s="46">
        <v>15827</v>
      </c>
      <c r="H36" s="46">
        <v>2989</v>
      </c>
      <c r="I36" s="46">
        <v>1925</v>
      </c>
      <c r="J36" s="46">
        <v>804</v>
      </c>
      <c r="K36" s="46" t="s">
        <v>92</v>
      </c>
      <c r="L36" s="46" t="s">
        <v>93</v>
      </c>
      <c r="M36" s="46" t="s">
        <v>19</v>
      </c>
    </row>
    <row r="37" spans="1:13">
      <c r="A37" s="47">
        <v>45327</v>
      </c>
      <c r="B37" s="46" t="s">
        <v>13</v>
      </c>
      <c r="C37" s="46" t="s">
        <v>14</v>
      </c>
      <c r="D37" s="46" t="s">
        <v>15</v>
      </c>
      <c r="E37" s="46" t="s">
        <v>16</v>
      </c>
      <c r="F37" s="46">
        <v>189912</v>
      </c>
      <c r="G37" s="46">
        <v>12514</v>
      </c>
      <c r="H37" s="46">
        <v>2711</v>
      </c>
      <c r="I37" s="46">
        <v>1616</v>
      </c>
      <c r="J37" s="46">
        <v>890</v>
      </c>
      <c r="K37" s="46" t="s">
        <v>94</v>
      </c>
      <c r="L37" s="46" t="s">
        <v>95</v>
      </c>
      <c r="M37" s="46" t="s">
        <v>22</v>
      </c>
    </row>
    <row r="38" spans="1:13">
      <c r="A38" s="47">
        <v>45328</v>
      </c>
      <c r="B38" s="46" t="s">
        <v>13</v>
      </c>
      <c r="C38" s="46" t="s">
        <v>14</v>
      </c>
      <c r="D38" s="46" t="s">
        <v>15</v>
      </c>
      <c r="E38" s="46" t="s">
        <v>28</v>
      </c>
      <c r="F38" s="46">
        <v>202653</v>
      </c>
      <c r="G38" s="46">
        <v>7479</v>
      </c>
      <c r="H38" s="46">
        <v>1790</v>
      </c>
      <c r="I38" s="46">
        <v>1010</v>
      </c>
      <c r="J38" s="46">
        <v>592</v>
      </c>
      <c r="K38" s="46" t="s">
        <v>96</v>
      </c>
      <c r="L38" s="46" t="s">
        <v>97</v>
      </c>
      <c r="M38" s="46" t="s">
        <v>19</v>
      </c>
    </row>
    <row r="39" spans="1:13">
      <c r="A39" s="47">
        <v>45329</v>
      </c>
      <c r="B39" s="46" t="s">
        <v>13</v>
      </c>
      <c r="C39" s="46" t="s">
        <v>14</v>
      </c>
      <c r="D39" s="46" t="s">
        <v>15</v>
      </c>
      <c r="E39" s="46" t="s">
        <v>16</v>
      </c>
      <c r="F39" s="46">
        <v>72831</v>
      </c>
      <c r="G39" s="46">
        <v>5085</v>
      </c>
      <c r="H39" s="46">
        <v>1192</v>
      </c>
      <c r="I39" s="46">
        <v>648</v>
      </c>
      <c r="J39" s="46">
        <v>367</v>
      </c>
      <c r="K39" s="46" t="s">
        <v>98</v>
      </c>
      <c r="L39" s="46" t="s">
        <v>99</v>
      </c>
      <c r="M39" s="46" t="s">
        <v>19</v>
      </c>
    </row>
    <row r="40" spans="1:13">
      <c r="A40" s="47">
        <v>45330</v>
      </c>
      <c r="B40" s="46" t="s">
        <v>13</v>
      </c>
      <c r="C40" s="46" t="s">
        <v>14</v>
      </c>
      <c r="D40" s="46" t="s">
        <v>15</v>
      </c>
      <c r="E40" s="46" t="s">
        <v>28</v>
      </c>
      <c r="F40" s="46">
        <v>215776</v>
      </c>
      <c r="G40" s="46">
        <v>15117</v>
      </c>
      <c r="H40" s="46">
        <v>2292</v>
      </c>
      <c r="I40" s="46">
        <v>1195</v>
      </c>
      <c r="J40" s="46">
        <v>520</v>
      </c>
      <c r="K40" s="46" t="s">
        <v>100</v>
      </c>
      <c r="L40" s="46" t="s">
        <v>101</v>
      </c>
      <c r="M40" s="46" t="s">
        <v>35</v>
      </c>
    </row>
    <row r="41" spans="1:13">
      <c r="A41" s="47">
        <v>45331</v>
      </c>
      <c r="B41" s="46" t="s">
        <v>13</v>
      </c>
      <c r="C41" s="46" t="s">
        <v>14</v>
      </c>
      <c r="D41" s="46" t="s">
        <v>15</v>
      </c>
      <c r="E41" s="46" t="s">
        <v>16</v>
      </c>
      <c r="F41" s="46">
        <v>72443</v>
      </c>
      <c r="G41" s="46">
        <v>3074</v>
      </c>
      <c r="H41" s="46">
        <v>557</v>
      </c>
      <c r="I41" s="46">
        <v>275</v>
      </c>
      <c r="J41" s="46">
        <v>119</v>
      </c>
      <c r="K41" s="46" t="s">
        <v>102</v>
      </c>
      <c r="L41" s="46" t="s">
        <v>103</v>
      </c>
      <c r="M41" s="46" t="s">
        <v>53</v>
      </c>
    </row>
    <row r="42" spans="1:13">
      <c r="A42" s="47">
        <v>45332</v>
      </c>
      <c r="B42" s="46" t="s">
        <v>13</v>
      </c>
      <c r="C42" s="46" t="s">
        <v>14</v>
      </c>
      <c r="D42" s="46" t="s">
        <v>15</v>
      </c>
      <c r="E42" s="46" t="s">
        <v>28</v>
      </c>
      <c r="F42" s="46">
        <v>155169</v>
      </c>
      <c r="G42" s="46">
        <v>10534</v>
      </c>
      <c r="H42" s="46">
        <v>1826</v>
      </c>
      <c r="I42" s="46">
        <v>964</v>
      </c>
      <c r="J42" s="46">
        <v>488</v>
      </c>
      <c r="K42" s="46" t="s">
        <v>104</v>
      </c>
      <c r="L42" s="46" t="s">
        <v>105</v>
      </c>
      <c r="M42" s="46" t="s">
        <v>53</v>
      </c>
    </row>
    <row r="43" spans="1:13">
      <c r="A43" s="47">
        <v>45333</v>
      </c>
      <c r="B43" s="46" t="s">
        <v>13</v>
      </c>
      <c r="C43" s="46" t="s">
        <v>14</v>
      </c>
      <c r="D43" s="46" t="s">
        <v>15</v>
      </c>
      <c r="E43" s="46" t="s">
        <v>16</v>
      </c>
      <c r="F43" s="46">
        <v>145600</v>
      </c>
      <c r="G43" s="46">
        <v>10817</v>
      </c>
      <c r="H43" s="46">
        <v>2620</v>
      </c>
      <c r="I43" s="46">
        <v>1253</v>
      </c>
      <c r="J43" s="46">
        <v>628</v>
      </c>
      <c r="K43" s="46" t="s">
        <v>106</v>
      </c>
      <c r="L43" s="46" t="s">
        <v>107</v>
      </c>
      <c r="M43" s="46" t="s">
        <v>46</v>
      </c>
    </row>
    <row r="44" spans="1:13">
      <c r="A44" s="47">
        <v>45334</v>
      </c>
      <c r="B44" s="46" t="s">
        <v>13</v>
      </c>
      <c r="C44" s="46" t="s">
        <v>14</v>
      </c>
      <c r="D44" s="46" t="s">
        <v>15</v>
      </c>
      <c r="E44" s="46" t="s">
        <v>25</v>
      </c>
      <c r="F44" s="46">
        <v>235449</v>
      </c>
      <c r="G44" s="46">
        <v>17901</v>
      </c>
      <c r="H44" s="46">
        <v>3572</v>
      </c>
      <c r="I44" s="46">
        <v>1970</v>
      </c>
      <c r="J44" s="46">
        <v>869</v>
      </c>
      <c r="K44" s="46" t="s">
        <v>108</v>
      </c>
      <c r="L44" s="46" t="s">
        <v>109</v>
      </c>
      <c r="M44" s="46" t="s">
        <v>35</v>
      </c>
    </row>
    <row r="45" spans="1:13">
      <c r="A45" s="47">
        <v>45335</v>
      </c>
      <c r="B45" s="46" t="s">
        <v>13</v>
      </c>
      <c r="C45" s="46" t="s">
        <v>14</v>
      </c>
      <c r="D45" s="46" t="s">
        <v>15</v>
      </c>
      <c r="E45" s="46" t="s">
        <v>28</v>
      </c>
      <c r="F45" s="46">
        <v>92082</v>
      </c>
      <c r="G45" s="46">
        <v>5873</v>
      </c>
      <c r="H45" s="46">
        <v>1376</v>
      </c>
      <c r="I45" s="46">
        <v>740</v>
      </c>
      <c r="J45" s="46">
        <v>425</v>
      </c>
      <c r="K45" s="46" t="s">
        <v>110</v>
      </c>
      <c r="L45" s="46" t="s">
        <v>111</v>
      </c>
      <c r="M45" s="46" t="s">
        <v>22</v>
      </c>
    </row>
    <row r="46" spans="1:13">
      <c r="A46" s="47">
        <v>45336</v>
      </c>
      <c r="B46" s="46" t="s">
        <v>13</v>
      </c>
      <c r="C46" s="46" t="s">
        <v>14</v>
      </c>
      <c r="D46" s="46" t="s">
        <v>15</v>
      </c>
      <c r="E46" s="46" t="s">
        <v>25</v>
      </c>
      <c r="F46" s="46">
        <v>69767</v>
      </c>
      <c r="G46" s="46">
        <v>4894</v>
      </c>
      <c r="H46" s="46">
        <v>1047</v>
      </c>
      <c r="I46" s="46">
        <v>585</v>
      </c>
      <c r="J46" s="46">
        <v>275</v>
      </c>
      <c r="K46" s="46" t="s">
        <v>112</v>
      </c>
      <c r="L46" s="46" t="s">
        <v>113</v>
      </c>
      <c r="M46" s="46" t="s">
        <v>46</v>
      </c>
    </row>
    <row r="47" spans="1:13">
      <c r="A47" s="47">
        <v>45337</v>
      </c>
      <c r="B47" s="46" t="s">
        <v>13</v>
      </c>
      <c r="C47" s="46" t="s">
        <v>14</v>
      </c>
      <c r="D47" s="46" t="s">
        <v>15</v>
      </c>
      <c r="E47" s="46" t="s">
        <v>16</v>
      </c>
      <c r="F47" s="46">
        <v>131440</v>
      </c>
      <c r="G47" s="46">
        <v>4550</v>
      </c>
      <c r="H47" s="46">
        <v>1063</v>
      </c>
      <c r="I47" s="46">
        <v>659</v>
      </c>
      <c r="J47" s="46">
        <v>286</v>
      </c>
      <c r="K47" s="46" t="s">
        <v>114</v>
      </c>
      <c r="L47" s="46" t="s">
        <v>115</v>
      </c>
      <c r="M47" s="46" t="s">
        <v>35</v>
      </c>
    </row>
    <row r="48" spans="1:13">
      <c r="A48" s="47">
        <v>45338</v>
      </c>
      <c r="B48" s="46" t="s">
        <v>13</v>
      </c>
      <c r="C48" s="46" t="s">
        <v>14</v>
      </c>
      <c r="D48" s="46" t="s">
        <v>15</v>
      </c>
      <c r="E48" s="46" t="s">
        <v>28</v>
      </c>
      <c r="F48" s="46">
        <v>281475</v>
      </c>
      <c r="G48" s="46">
        <v>14540</v>
      </c>
      <c r="H48" s="46">
        <v>2460</v>
      </c>
      <c r="I48" s="46">
        <v>1239</v>
      </c>
      <c r="J48" s="46">
        <v>519</v>
      </c>
      <c r="K48" s="46" t="s">
        <v>116</v>
      </c>
      <c r="L48" s="46" t="s">
        <v>117</v>
      </c>
      <c r="M48" s="46" t="s">
        <v>53</v>
      </c>
    </row>
    <row r="49" spans="1:13">
      <c r="A49" s="47">
        <v>45339</v>
      </c>
      <c r="B49" s="46" t="s">
        <v>13</v>
      </c>
      <c r="C49" s="46" t="s">
        <v>14</v>
      </c>
      <c r="D49" s="46" t="s">
        <v>15</v>
      </c>
      <c r="E49" s="46" t="s">
        <v>16</v>
      </c>
      <c r="F49" s="46">
        <v>138904</v>
      </c>
      <c r="G49" s="46">
        <v>6550</v>
      </c>
      <c r="H49" s="46">
        <v>1548</v>
      </c>
      <c r="I49" s="46">
        <v>797</v>
      </c>
      <c r="J49" s="46">
        <v>435</v>
      </c>
      <c r="K49" s="46" t="s">
        <v>118</v>
      </c>
      <c r="L49" s="46" t="s">
        <v>119</v>
      </c>
      <c r="M49" s="46" t="s">
        <v>53</v>
      </c>
    </row>
    <row r="50" spans="1:13">
      <c r="A50" s="47">
        <v>45340</v>
      </c>
      <c r="B50" s="46" t="s">
        <v>13</v>
      </c>
      <c r="C50" s="46" t="s">
        <v>14</v>
      </c>
      <c r="D50" s="46" t="s">
        <v>15</v>
      </c>
      <c r="E50" s="46" t="s">
        <v>28</v>
      </c>
      <c r="F50" s="46">
        <v>294254</v>
      </c>
      <c r="G50" s="46">
        <v>13308</v>
      </c>
      <c r="H50" s="46">
        <v>3157</v>
      </c>
      <c r="I50" s="46">
        <v>1809</v>
      </c>
      <c r="J50" s="46">
        <v>752</v>
      </c>
      <c r="K50" s="46" t="s">
        <v>120</v>
      </c>
      <c r="L50" s="46" t="s">
        <v>121</v>
      </c>
      <c r="M50" s="46" t="s">
        <v>46</v>
      </c>
    </row>
    <row r="51" spans="1:13">
      <c r="A51" s="47">
        <v>45341</v>
      </c>
      <c r="B51" s="46" t="s">
        <v>13</v>
      </c>
      <c r="C51" s="46" t="s">
        <v>14</v>
      </c>
      <c r="D51" s="46" t="s">
        <v>15</v>
      </c>
      <c r="E51" s="46" t="s">
        <v>16</v>
      </c>
      <c r="F51" s="46">
        <v>176880</v>
      </c>
      <c r="G51" s="46">
        <v>12551</v>
      </c>
      <c r="H51" s="46">
        <v>2597</v>
      </c>
      <c r="I51" s="46">
        <v>1551</v>
      </c>
      <c r="J51" s="46">
        <v>905</v>
      </c>
      <c r="K51" s="46" t="s">
        <v>122</v>
      </c>
      <c r="L51" s="46" t="s">
        <v>123</v>
      </c>
      <c r="M51" s="46" t="s">
        <v>53</v>
      </c>
    </row>
    <row r="52" spans="1:13">
      <c r="A52" s="47">
        <v>45342</v>
      </c>
      <c r="B52" s="46" t="s">
        <v>13</v>
      </c>
      <c r="C52" s="46" t="s">
        <v>14</v>
      </c>
      <c r="D52" s="46" t="s">
        <v>15</v>
      </c>
      <c r="E52" s="46" t="s">
        <v>28</v>
      </c>
      <c r="F52" s="46">
        <v>135158</v>
      </c>
      <c r="G52" s="46">
        <v>10392</v>
      </c>
      <c r="H52" s="46">
        <v>2062</v>
      </c>
      <c r="I52" s="46">
        <v>977</v>
      </c>
      <c r="J52" s="46">
        <v>480</v>
      </c>
      <c r="K52" s="46" t="s">
        <v>124</v>
      </c>
      <c r="L52" s="46" t="s">
        <v>125</v>
      </c>
      <c r="M52" s="46" t="s">
        <v>22</v>
      </c>
    </row>
    <row r="53" spans="1:13">
      <c r="A53" s="47">
        <v>45343</v>
      </c>
      <c r="B53" s="46" t="s">
        <v>13</v>
      </c>
      <c r="C53" s="46" t="s">
        <v>14</v>
      </c>
      <c r="D53" s="46" t="s">
        <v>15</v>
      </c>
      <c r="E53" s="46" t="s">
        <v>25</v>
      </c>
      <c r="F53" s="46">
        <v>236532</v>
      </c>
      <c r="G53" s="46">
        <v>17823</v>
      </c>
      <c r="H53" s="46">
        <v>2773</v>
      </c>
      <c r="I53" s="46">
        <v>1664</v>
      </c>
      <c r="J53" s="46">
        <v>752</v>
      </c>
      <c r="K53" s="46" t="s">
        <v>126</v>
      </c>
      <c r="L53" s="46" t="s">
        <v>127</v>
      </c>
      <c r="M53" s="46" t="s">
        <v>46</v>
      </c>
    </row>
    <row r="54" spans="1:13">
      <c r="A54" s="47">
        <v>45344</v>
      </c>
      <c r="B54" s="46" t="s">
        <v>13</v>
      </c>
      <c r="C54" s="46" t="s">
        <v>14</v>
      </c>
      <c r="D54" s="46" t="s">
        <v>15</v>
      </c>
      <c r="E54" s="46" t="s">
        <v>16</v>
      </c>
      <c r="F54" s="46">
        <v>279307</v>
      </c>
      <c r="G54" s="46">
        <v>12903</v>
      </c>
      <c r="H54" s="46">
        <v>2336</v>
      </c>
      <c r="I54" s="46">
        <v>1311</v>
      </c>
      <c r="J54" s="46">
        <v>548</v>
      </c>
      <c r="K54" s="46" t="s">
        <v>128</v>
      </c>
      <c r="L54" s="46" t="s">
        <v>129</v>
      </c>
      <c r="M54" s="46" t="s">
        <v>22</v>
      </c>
    </row>
    <row r="55" spans="1:13">
      <c r="A55" s="47">
        <v>45345</v>
      </c>
      <c r="B55" s="46" t="s">
        <v>13</v>
      </c>
      <c r="C55" s="46" t="s">
        <v>14</v>
      </c>
      <c r="D55" s="46" t="s">
        <v>15</v>
      </c>
      <c r="E55" s="46" t="s">
        <v>16</v>
      </c>
      <c r="F55" s="46">
        <v>51984</v>
      </c>
      <c r="G55" s="46">
        <v>2911</v>
      </c>
      <c r="H55" s="46">
        <v>604</v>
      </c>
      <c r="I55" s="46">
        <v>374</v>
      </c>
      <c r="J55" s="46">
        <v>222</v>
      </c>
      <c r="K55" s="46" t="s">
        <v>130</v>
      </c>
      <c r="L55" s="46" t="s">
        <v>131</v>
      </c>
      <c r="M55" s="46" t="s">
        <v>53</v>
      </c>
    </row>
    <row r="56" spans="1:13">
      <c r="A56" s="47">
        <v>45346</v>
      </c>
      <c r="B56" s="46" t="s">
        <v>13</v>
      </c>
      <c r="C56" s="46" t="s">
        <v>14</v>
      </c>
      <c r="D56" s="46" t="s">
        <v>15</v>
      </c>
      <c r="E56" s="46" t="s">
        <v>28</v>
      </c>
      <c r="F56" s="46">
        <v>103947</v>
      </c>
      <c r="G56" s="46">
        <v>7149</v>
      </c>
      <c r="H56" s="46">
        <v>1414</v>
      </c>
      <c r="I56" s="46">
        <v>811</v>
      </c>
      <c r="J56" s="46">
        <v>375</v>
      </c>
      <c r="K56" s="46" t="s">
        <v>132</v>
      </c>
      <c r="L56" s="46" t="s">
        <v>133</v>
      </c>
      <c r="M56" s="46" t="s">
        <v>53</v>
      </c>
    </row>
    <row r="57" spans="1:13">
      <c r="A57" s="47">
        <v>45347</v>
      </c>
      <c r="B57" s="46" t="s">
        <v>13</v>
      </c>
      <c r="C57" s="46" t="s">
        <v>14</v>
      </c>
      <c r="D57" s="46" t="s">
        <v>15</v>
      </c>
      <c r="E57" s="46" t="s">
        <v>25</v>
      </c>
      <c r="F57" s="46">
        <v>61783</v>
      </c>
      <c r="G57" s="46">
        <v>3786</v>
      </c>
      <c r="H57" s="46">
        <v>675</v>
      </c>
      <c r="I57" s="46">
        <v>431</v>
      </c>
      <c r="J57" s="46">
        <v>230</v>
      </c>
      <c r="K57" s="46" t="s">
        <v>134</v>
      </c>
      <c r="L57" s="46" t="s">
        <v>135</v>
      </c>
      <c r="M57" s="46" t="s">
        <v>35</v>
      </c>
    </row>
    <row r="58" spans="1:13">
      <c r="A58" s="47">
        <v>45348</v>
      </c>
      <c r="B58" s="46" t="s">
        <v>13</v>
      </c>
      <c r="C58" s="46" t="s">
        <v>14</v>
      </c>
      <c r="D58" s="46" t="s">
        <v>15</v>
      </c>
      <c r="E58" s="46" t="s">
        <v>28</v>
      </c>
      <c r="F58" s="46">
        <v>211522</v>
      </c>
      <c r="G58" s="46">
        <v>8146</v>
      </c>
      <c r="H58" s="46">
        <v>1649</v>
      </c>
      <c r="I58" s="46">
        <v>828</v>
      </c>
      <c r="J58" s="46">
        <v>347</v>
      </c>
      <c r="K58" s="46" t="s">
        <v>136</v>
      </c>
      <c r="L58" s="46" t="s">
        <v>137</v>
      </c>
      <c r="M58" s="46" t="s">
        <v>35</v>
      </c>
    </row>
    <row r="59" spans="1:13">
      <c r="A59" s="47">
        <v>45349</v>
      </c>
      <c r="B59" s="46" t="s">
        <v>13</v>
      </c>
      <c r="C59" s="46" t="s">
        <v>14</v>
      </c>
      <c r="D59" s="46" t="s">
        <v>15</v>
      </c>
      <c r="E59" s="46" t="s">
        <v>25</v>
      </c>
      <c r="F59" s="46">
        <v>55880</v>
      </c>
      <c r="G59" s="46">
        <v>1910</v>
      </c>
      <c r="H59" s="46">
        <v>340</v>
      </c>
      <c r="I59" s="46">
        <v>220</v>
      </c>
      <c r="J59" s="46">
        <v>103</v>
      </c>
      <c r="K59" s="46" t="s">
        <v>138</v>
      </c>
      <c r="L59" s="46" t="s">
        <v>139</v>
      </c>
      <c r="M59" s="46" t="s">
        <v>53</v>
      </c>
    </row>
    <row r="60" spans="1:13">
      <c r="A60" s="47">
        <v>45350</v>
      </c>
      <c r="B60" s="46" t="s">
        <v>13</v>
      </c>
      <c r="C60" s="46" t="s">
        <v>14</v>
      </c>
      <c r="D60" s="46" t="s">
        <v>15</v>
      </c>
      <c r="E60" s="46" t="s">
        <v>16</v>
      </c>
      <c r="F60" s="46">
        <v>167535</v>
      </c>
      <c r="G60" s="46">
        <v>11504</v>
      </c>
      <c r="H60" s="46">
        <v>2177</v>
      </c>
      <c r="I60" s="46">
        <v>1304</v>
      </c>
      <c r="J60" s="46">
        <v>556</v>
      </c>
      <c r="K60" s="46" t="s">
        <v>140</v>
      </c>
      <c r="L60" s="46" t="s">
        <v>141</v>
      </c>
      <c r="M60" s="46" t="s">
        <v>19</v>
      </c>
    </row>
    <row r="61" spans="1:13">
      <c r="A61" s="47">
        <v>45351</v>
      </c>
      <c r="B61" s="46" t="s">
        <v>13</v>
      </c>
      <c r="C61" s="46" t="s">
        <v>14</v>
      </c>
      <c r="D61" s="46" t="s">
        <v>15</v>
      </c>
      <c r="E61" s="46" t="s">
        <v>28</v>
      </c>
      <c r="F61" s="46">
        <v>206944</v>
      </c>
      <c r="G61" s="46">
        <v>15993</v>
      </c>
      <c r="H61" s="46">
        <v>2610</v>
      </c>
      <c r="I61" s="46">
        <v>1657</v>
      </c>
      <c r="J61" s="46">
        <v>747</v>
      </c>
      <c r="K61" s="46" t="s">
        <v>142</v>
      </c>
      <c r="L61" s="46" t="s">
        <v>143</v>
      </c>
      <c r="M61" s="46" t="s">
        <v>19</v>
      </c>
    </row>
    <row r="62" spans="1:13">
      <c r="A62" s="47">
        <v>45352</v>
      </c>
      <c r="B62" s="46" t="s">
        <v>144</v>
      </c>
      <c r="C62" s="46" t="s">
        <v>145</v>
      </c>
      <c r="D62" s="46" t="s">
        <v>146</v>
      </c>
      <c r="E62" s="46" t="s">
        <v>16</v>
      </c>
      <c r="F62" s="46">
        <v>86043</v>
      </c>
      <c r="G62" s="46">
        <v>5121</v>
      </c>
      <c r="H62" s="46">
        <v>1032</v>
      </c>
      <c r="I62" s="46">
        <v>663</v>
      </c>
      <c r="J62" s="46">
        <v>383</v>
      </c>
      <c r="K62" s="46" t="s">
        <v>147</v>
      </c>
      <c r="L62" s="46" t="s">
        <v>148</v>
      </c>
      <c r="M62" s="46" t="s">
        <v>46</v>
      </c>
    </row>
    <row r="63" spans="1:13">
      <c r="A63" s="47">
        <v>45352</v>
      </c>
      <c r="B63" s="46" t="s">
        <v>13</v>
      </c>
      <c r="C63" s="46" t="s">
        <v>14</v>
      </c>
      <c r="D63" s="46" t="s">
        <v>15</v>
      </c>
      <c r="E63" s="46" t="s">
        <v>25</v>
      </c>
      <c r="F63" s="46">
        <v>238624</v>
      </c>
      <c r="G63" s="46">
        <v>16826</v>
      </c>
      <c r="H63" s="46">
        <v>3034</v>
      </c>
      <c r="I63" s="46">
        <v>1553</v>
      </c>
      <c r="J63" s="46">
        <v>882</v>
      </c>
      <c r="K63" s="46" t="s">
        <v>149</v>
      </c>
      <c r="L63" s="46" t="s">
        <v>150</v>
      </c>
      <c r="M63" s="46" t="s">
        <v>35</v>
      </c>
    </row>
    <row r="64" spans="1:13">
      <c r="A64" s="47">
        <v>45353</v>
      </c>
      <c r="B64" s="46" t="s">
        <v>144</v>
      </c>
      <c r="C64" s="46" t="s">
        <v>145</v>
      </c>
      <c r="D64" s="46" t="s">
        <v>146</v>
      </c>
      <c r="E64" s="46" t="s">
        <v>16</v>
      </c>
      <c r="F64" s="46">
        <v>106383</v>
      </c>
      <c r="G64" s="46">
        <v>8132</v>
      </c>
      <c r="H64" s="46">
        <v>1989</v>
      </c>
      <c r="I64" s="46">
        <v>1180</v>
      </c>
      <c r="J64" s="46">
        <v>597</v>
      </c>
      <c r="K64" s="46" t="s">
        <v>151</v>
      </c>
      <c r="L64" s="46" t="s">
        <v>152</v>
      </c>
      <c r="M64" s="46" t="s">
        <v>53</v>
      </c>
    </row>
    <row r="65" spans="1:13">
      <c r="A65" s="47">
        <v>45353</v>
      </c>
      <c r="B65" s="46" t="s">
        <v>13</v>
      </c>
      <c r="C65" s="46" t="s">
        <v>14</v>
      </c>
      <c r="D65" s="46" t="s">
        <v>15</v>
      </c>
      <c r="E65" s="46" t="s">
        <v>28</v>
      </c>
      <c r="F65" s="46">
        <v>137353</v>
      </c>
      <c r="G65" s="46">
        <v>10177</v>
      </c>
      <c r="H65" s="46">
        <v>1561</v>
      </c>
      <c r="I65" s="46">
        <v>926</v>
      </c>
      <c r="J65" s="46">
        <v>440</v>
      </c>
      <c r="K65" s="46" t="s">
        <v>153</v>
      </c>
      <c r="L65" s="46" t="s">
        <v>154</v>
      </c>
      <c r="M65" s="46" t="s">
        <v>46</v>
      </c>
    </row>
    <row r="66" spans="1:13">
      <c r="A66" s="47">
        <v>45354</v>
      </c>
      <c r="B66" s="46" t="s">
        <v>144</v>
      </c>
      <c r="C66" s="46" t="s">
        <v>145</v>
      </c>
      <c r="D66" s="46" t="s">
        <v>146</v>
      </c>
      <c r="E66" s="46" t="s">
        <v>16</v>
      </c>
      <c r="F66" s="46">
        <v>190183</v>
      </c>
      <c r="G66" s="46">
        <v>9911</v>
      </c>
      <c r="H66" s="46">
        <v>2343</v>
      </c>
      <c r="I66" s="46">
        <v>1331</v>
      </c>
      <c r="J66" s="46">
        <v>712</v>
      </c>
      <c r="K66" s="46" t="s">
        <v>155</v>
      </c>
      <c r="L66" s="46" t="s">
        <v>156</v>
      </c>
      <c r="M66" s="46" t="s">
        <v>22</v>
      </c>
    </row>
    <row r="67" spans="1:13">
      <c r="A67" s="47">
        <v>45354</v>
      </c>
      <c r="B67" s="46" t="s">
        <v>13</v>
      </c>
      <c r="C67" s="46" t="s">
        <v>14</v>
      </c>
      <c r="D67" s="46" t="s">
        <v>15</v>
      </c>
      <c r="E67" s="46" t="s">
        <v>16</v>
      </c>
      <c r="F67" s="46">
        <v>248339</v>
      </c>
      <c r="G67" s="46">
        <v>16962</v>
      </c>
      <c r="H67" s="46">
        <v>3496</v>
      </c>
      <c r="I67" s="46">
        <v>1806</v>
      </c>
      <c r="J67" s="46">
        <v>789</v>
      </c>
      <c r="K67" s="46" t="s">
        <v>157</v>
      </c>
      <c r="L67" s="46" t="s">
        <v>158</v>
      </c>
      <c r="M67" s="46" t="s">
        <v>35</v>
      </c>
    </row>
    <row r="68" spans="1:13">
      <c r="A68" s="47">
        <v>45355</v>
      </c>
      <c r="B68" s="46" t="s">
        <v>144</v>
      </c>
      <c r="C68" s="46" t="s">
        <v>145</v>
      </c>
      <c r="D68" s="46" t="s">
        <v>146</v>
      </c>
      <c r="E68" s="46" t="s">
        <v>16</v>
      </c>
      <c r="F68" s="46">
        <v>151825</v>
      </c>
      <c r="G68" s="46">
        <v>7293</v>
      </c>
      <c r="H68" s="46">
        <v>1728</v>
      </c>
      <c r="I68" s="46">
        <v>1114</v>
      </c>
      <c r="J68" s="46">
        <v>497</v>
      </c>
      <c r="K68" s="46" t="s">
        <v>159</v>
      </c>
      <c r="L68" s="46" t="s">
        <v>160</v>
      </c>
      <c r="M68" s="46" t="s">
        <v>19</v>
      </c>
    </row>
    <row r="69" spans="1:13">
      <c r="A69" s="47">
        <v>45355</v>
      </c>
      <c r="B69" s="46" t="s">
        <v>13</v>
      </c>
      <c r="C69" s="46" t="s">
        <v>14</v>
      </c>
      <c r="D69" s="46" t="s">
        <v>15</v>
      </c>
      <c r="E69" s="46" t="s">
        <v>16</v>
      </c>
      <c r="F69" s="46">
        <v>56983</v>
      </c>
      <c r="G69" s="46">
        <v>2037</v>
      </c>
      <c r="H69" s="46">
        <v>418</v>
      </c>
      <c r="I69" s="46">
        <v>208</v>
      </c>
      <c r="J69" s="46">
        <v>123</v>
      </c>
      <c r="K69" s="46" t="s">
        <v>161</v>
      </c>
      <c r="L69" s="46" t="s">
        <v>162</v>
      </c>
      <c r="M69" s="46" t="s">
        <v>46</v>
      </c>
    </row>
    <row r="70" spans="1:13">
      <c r="A70" s="47">
        <v>45356</v>
      </c>
      <c r="B70" s="46" t="s">
        <v>144</v>
      </c>
      <c r="C70" s="46" t="s">
        <v>145</v>
      </c>
      <c r="D70" s="46" t="s">
        <v>146</v>
      </c>
      <c r="E70" s="46" t="s">
        <v>16</v>
      </c>
      <c r="F70" s="46">
        <v>70110</v>
      </c>
      <c r="G70" s="46">
        <v>3013</v>
      </c>
      <c r="H70" s="46">
        <v>750</v>
      </c>
      <c r="I70" s="46">
        <v>468</v>
      </c>
      <c r="J70" s="46">
        <v>238</v>
      </c>
      <c r="K70" s="46" t="s">
        <v>163</v>
      </c>
      <c r="L70" s="46" t="s">
        <v>164</v>
      </c>
      <c r="M70" s="46" t="s">
        <v>53</v>
      </c>
    </row>
    <row r="71" spans="1:13">
      <c r="A71" s="47">
        <v>45356</v>
      </c>
      <c r="B71" s="46" t="s">
        <v>13</v>
      </c>
      <c r="C71" s="46" t="s">
        <v>14</v>
      </c>
      <c r="D71" s="46" t="s">
        <v>15</v>
      </c>
      <c r="E71" s="46" t="s">
        <v>25</v>
      </c>
      <c r="F71" s="46">
        <v>161034</v>
      </c>
      <c r="G71" s="46">
        <v>5095</v>
      </c>
      <c r="H71" s="46">
        <v>881</v>
      </c>
      <c r="I71" s="46">
        <v>462</v>
      </c>
      <c r="J71" s="46">
        <v>224</v>
      </c>
      <c r="K71" s="46" t="s">
        <v>165</v>
      </c>
      <c r="L71" s="46" t="s">
        <v>166</v>
      </c>
      <c r="M71" s="46" t="s">
        <v>53</v>
      </c>
    </row>
    <row r="72" spans="1:13">
      <c r="A72" s="47">
        <v>45357</v>
      </c>
      <c r="B72" s="46" t="s">
        <v>144</v>
      </c>
      <c r="C72" s="46" t="s">
        <v>145</v>
      </c>
      <c r="D72" s="46" t="s">
        <v>146</v>
      </c>
      <c r="E72" s="46" t="s">
        <v>16</v>
      </c>
      <c r="F72" s="46">
        <v>127872</v>
      </c>
      <c r="G72" s="46">
        <v>7698</v>
      </c>
      <c r="H72" s="46">
        <v>1526</v>
      </c>
      <c r="I72" s="46">
        <v>763</v>
      </c>
      <c r="J72" s="46">
        <v>381</v>
      </c>
      <c r="K72" s="46" t="s">
        <v>167</v>
      </c>
      <c r="L72" s="46" t="s">
        <v>168</v>
      </c>
      <c r="M72" s="46" t="s">
        <v>46</v>
      </c>
    </row>
    <row r="73" spans="1:13">
      <c r="A73" s="47">
        <v>45357</v>
      </c>
      <c r="B73" s="46" t="s">
        <v>13</v>
      </c>
      <c r="C73" s="46" t="s">
        <v>14</v>
      </c>
      <c r="D73" s="46" t="s">
        <v>15</v>
      </c>
      <c r="E73" s="46" t="s">
        <v>16</v>
      </c>
      <c r="F73" s="46">
        <v>207444</v>
      </c>
      <c r="G73" s="46">
        <v>12055</v>
      </c>
      <c r="H73" s="46">
        <v>2103</v>
      </c>
      <c r="I73" s="46">
        <v>1256</v>
      </c>
      <c r="J73" s="46">
        <v>542</v>
      </c>
      <c r="K73" s="46" t="s">
        <v>169</v>
      </c>
      <c r="L73" s="46" t="s">
        <v>170</v>
      </c>
      <c r="M73" s="46" t="s">
        <v>22</v>
      </c>
    </row>
    <row r="74" spans="1:13">
      <c r="A74" s="47">
        <v>45358</v>
      </c>
      <c r="B74" s="46" t="s">
        <v>144</v>
      </c>
      <c r="C74" s="46" t="s">
        <v>145</v>
      </c>
      <c r="D74" s="46" t="s">
        <v>146</v>
      </c>
      <c r="E74" s="46" t="s">
        <v>16</v>
      </c>
      <c r="F74" s="46">
        <v>125458</v>
      </c>
      <c r="G74" s="46">
        <v>8435</v>
      </c>
      <c r="H74" s="46">
        <v>1509</v>
      </c>
      <c r="I74" s="46">
        <v>693</v>
      </c>
      <c r="J74" s="46">
        <v>366</v>
      </c>
      <c r="K74" s="46" t="s">
        <v>171</v>
      </c>
      <c r="L74" s="46" t="s">
        <v>172</v>
      </c>
      <c r="M74" s="46" t="s">
        <v>19</v>
      </c>
    </row>
    <row r="75" spans="1:13">
      <c r="A75" s="47">
        <v>45358</v>
      </c>
      <c r="B75" s="46" t="s">
        <v>13</v>
      </c>
      <c r="C75" s="46" t="s">
        <v>14</v>
      </c>
      <c r="D75" s="46" t="s">
        <v>15</v>
      </c>
      <c r="E75" s="46" t="s">
        <v>28</v>
      </c>
      <c r="F75" s="46">
        <v>125186</v>
      </c>
      <c r="G75" s="46">
        <v>5438</v>
      </c>
      <c r="H75" s="46">
        <v>1013</v>
      </c>
      <c r="I75" s="46">
        <v>516</v>
      </c>
      <c r="J75" s="46">
        <v>288</v>
      </c>
      <c r="K75" s="46" t="s">
        <v>173</v>
      </c>
      <c r="L75" s="46" t="s">
        <v>174</v>
      </c>
      <c r="M75" s="46" t="s">
        <v>35</v>
      </c>
    </row>
    <row r="76" spans="1:13">
      <c r="A76" s="47">
        <v>45359</v>
      </c>
      <c r="B76" s="46" t="s">
        <v>144</v>
      </c>
      <c r="C76" s="46" t="s">
        <v>145</v>
      </c>
      <c r="D76" s="46" t="s">
        <v>146</v>
      </c>
      <c r="E76" s="46" t="s">
        <v>16</v>
      </c>
      <c r="F76" s="46">
        <v>52749</v>
      </c>
      <c r="G76" s="46">
        <v>3113</v>
      </c>
      <c r="H76" s="46">
        <v>594</v>
      </c>
      <c r="I76" s="46">
        <v>267</v>
      </c>
      <c r="J76" s="46">
        <v>132</v>
      </c>
      <c r="K76" s="46" t="s">
        <v>175</v>
      </c>
      <c r="L76" s="46" t="s">
        <v>176</v>
      </c>
      <c r="M76" s="46" t="s">
        <v>19</v>
      </c>
    </row>
    <row r="77" spans="1:13">
      <c r="A77" s="47">
        <v>45359</v>
      </c>
      <c r="B77" s="46" t="s">
        <v>13</v>
      </c>
      <c r="C77" s="46" t="s">
        <v>14</v>
      </c>
      <c r="D77" s="46" t="s">
        <v>15</v>
      </c>
      <c r="E77" s="46" t="s">
        <v>16</v>
      </c>
      <c r="F77" s="46">
        <v>153379</v>
      </c>
      <c r="G77" s="46">
        <v>7139</v>
      </c>
      <c r="H77" s="46">
        <v>1663</v>
      </c>
      <c r="I77" s="46">
        <v>957</v>
      </c>
      <c r="J77" s="46">
        <v>429</v>
      </c>
      <c r="K77" s="46" t="s">
        <v>177</v>
      </c>
      <c r="L77" s="46" t="s">
        <v>178</v>
      </c>
      <c r="M77" s="46" t="s">
        <v>53</v>
      </c>
    </row>
    <row r="78" spans="1:13">
      <c r="A78" s="47">
        <v>45360</v>
      </c>
      <c r="B78" s="46" t="s">
        <v>144</v>
      </c>
      <c r="C78" s="46" t="s">
        <v>145</v>
      </c>
      <c r="D78" s="46" t="s">
        <v>146</v>
      </c>
      <c r="E78" s="46" t="s">
        <v>16</v>
      </c>
      <c r="F78" s="46">
        <v>55614</v>
      </c>
      <c r="G78" s="46">
        <v>3540</v>
      </c>
      <c r="H78" s="46">
        <v>572</v>
      </c>
      <c r="I78" s="46">
        <v>343</v>
      </c>
      <c r="J78" s="46">
        <v>154</v>
      </c>
      <c r="K78" s="46" t="s">
        <v>179</v>
      </c>
      <c r="L78" s="46" t="s">
        <v>180</v>
      </c>
      <c r="M78" s="46" t="s">
        <v>22</v>
      </c>
    </row>
    <row r="79" spans="1:13">
      <c r="A79" s="47">
        <v>45360</v>
      </c>
      <c r="B79" s="46" t="s">
        <v>13</v>
      </c>
      <c r="C79" s="46" t="s">
        <v>14</v>
      </c>
      <c r="D79" s="46" t="s">
        <v>15</v>
      </c>
      <c r="E79" s="46" t="s">
        <v>16</v>
      </c>
      <c r="F79" s="46">
        <v>123685</v>
      </c>
      <c r="G79" s="46">
        <v>8520</v>
      </c>
      <c r="H79" s="46">
        <v>2108</v>
      </c>
      <c r="I79" s="46">
        <v>1010</v>
      </c>
      <c r="J79" s="46">
        <v>406</v>
      </c>
      <c r="K79" s="46" t="s">
        <v>181</v>
      </c>
      <c r="L79" s="46" t="s">
        <v>182</v>
      </c>
      <c r="M79" s="46" t="s">
        <v>53</v>
      </c>
    </row>
    <row r="80" spans="1:13">
      <c r="A80" s="47">
        <v>45361</v>
      </c>
      <c r="B80" s="46" t="s">
        <v>144</v>
      </c>
      <c r="C80" s="46" t="s">
        <v>145</v>
      </c>
      <c r="D80" s="46" t="s">
        <v>146</v>
      </c>
      <c r="E80" s="46" t="s">
        <v>16</v>
      </c>
      <c r="F80" s="46">
        <v>160586</v>
      </c>
      <c r="G80" s="46">
        <v>9019</v>
      </c>
      <c r="H80" s="46">
        <v>1457</v>
      </c>
      <c r="I80" s="46">
        <v>790</v>
      </c>
      <c r="J80" s="46">
        <v>427</v>
      </c>
      <c r="K80" s="46" t="s">
        <v>183</v>
      </c>
      <c r="L80" s="46" t="s">
        <v>184</v>
      </c>
      <c r="M80" s="46" t="s">
        <v>22</v>
      </c>
    </row>
    <row r="81" spans="1:13">
      <c r="A81" s="47">
        <v>45361</v>
      </c>
      <c r="B81" s="46" t="s">
        <v>13</v>
      </c>
      <c r="C81" s="46" t="s">
        <v>14</v>
      </c>
      <c r="D81" s="46" t="s">
        <v>15</v>
      </c>
      <c r="E81" s="46" t="s">
        <v>28</v>
      </c>
      <c r="F81" s="46">
        <v>226639</v>
      </c>
      <c r="G81" s="46">
        <v>12635</v>
      </c>
      <c r="H81" s="46">
        <v>2302</v>
      </c>
      <c r="I81" s="46">
        <v>1218</v>
      </c>
      <c r="J81" s="46">
        <v>650</v>
      </c>
      <c r="K81" s="46" t="s">
        <v>185</v>
      </c>
      <c r="L81" s="46" t="s">
        <v>186</v>
      </c>
      <c r="M81" s="46" t="s">
        <v>46</v>
      </c>
    </row>
    <row r="82" spans="1:13">
      <c r="A82" s="47">
        <v>45362</v>
      </c>
      <c r="B82" s="46" t="s">
        <v>144</v>
      </c>
      <c r="C82" s="46" t="s">
        <v>145</v>
      </c>
      <c r="D82" s="46" t="s">
        <v>146</v>
      </c>
      <c r="E82" s="46" t="s">
        <v>16</v>
      </c>
      <c r="F82" s="46">
        <v>73407</v>
      </c>
      <c r="G82" s="46">
        <v>5606</v>
      </c>
      <c r="H82" s="46">
        <v>883</v>
      </c>
      <c r="I82" s="46">
        <v>498</v>
      </c>
      <c r="J82" s="46">
        <v>256</v>
      </c>
      <c r="K82" s="46" t="s">
        <v>187</v>
      </c>
      <c r="L82" s="46" t="s">
        <v>188</v>
      </c>
      <c r="M82" s="46" t="s">
        <v>19</v>
      </c>
    </row>
    <row r="83" spans="1:13">
      <c r="A83" s="47">
        <v>45362</v>
      </c>
      <c r="B83" s="46" t="s">
        <v>13</v>
      </c>
      <c r="C83" s="46" t="s">
        <v>14</v>
      </c>
      <c r="D83" s="46" t="s">
        <v>15</v>
      </c>
      <c r="E83" s="46" t="s">
        <v>25</v>
      </c>
      <c r="F83" s="46">
        <v>213309</v>
      </c>
      <c r="G83" s="46">
        <v>8042</v>
      </c>
      <c r="H83" s="46">
        <v>1913</v>
      </c>
      <c r="I83" s="46">
        <v>1209</v>
      </c>
      <c r="J83" s="46">
        <v>533</v>
      </c>
      <c r="K83" s="46" t="s">
        <v>189</v>
      </c>
      <c r="L83" s="46" t="s">
        <v>190</v>
      </c>
      <c r="M83" s="46" t="s">
        <v>22</v>
      </c>
    </row>
    <row r="84" spans="1:13">
      <c r="A84" s="47">
        <v>45363</v>
      </c>
      <c r="B84" s="46" t="s">
        <v>144</v>
      </c>
      <c r="C84" s="46" t="s">
        <v>145</v>
      </c>
      <c r="D84" s="46" t="s">
        <v>146</v>
      </c>
      <c r="E84" s="46" t="s">
        <v>16</v>
      </c>
      <c r="F84" s="46">
        <v>216597</v>
      </c>
      <c r="G84" s="46">
        <v>15507</v>
      </c>
      <c r="H84" s="46">
        <v>2335</v>
      </c>
      <c r="I84" s="46">
        <v>1445</v>
      </c>
      <c r="J84" s="46">
        <v>726</v>
      </c>
      <c r="K84" s="46" t="s">
        <v>191</v>
      </c>
      <c r="L84" s="46" t="s">
        <v>192</v>
      </c>
      <c r="M84" s="46" t="s">
        <v>22</v>
      </c>
    </row>
    <row r="85" spans="1:13">
      <c r="A85" s="47">
        <v>45363</v>
      </c>
      <c r="B85" s="46" t="s">
        <v>13</v>
      </c>
      <c r="C85" s="46" t="s">
        <v>14</v>
      </c>
      <c r="D85" s="46" t="s">
        <v>15</v>
      </c>
      <c r="E85" s="46" t="s">
        <v>28</v>
      </c>
      <c r="F85" s="46">
        <v>226506</v>
      </c>
      <c r="G85" s="46">
        <v>7970</v>
      </c>
      <c r="H85" s="46">
        <v>1292</v>
      </c>
      <c r="I85" s="46">
        <v>750</v>
      </c>
      <c r="J85" s="46">
        <v>420</v>
      </c>
      <c r="K85" s="46" t="s">
        <v>193</v>
      </c>
      <c r="L85" s="46" t="s">
        <v>194</v>
      </c>
      <c r="M85" s="46" t="s">
        <v>46</v>
      </c>
    </row>
    <row r="86" spans="1:13">
      <c r="A86" s="47">
        <v>45364</v>
      </c>
      <c r="B86" s="46" t="s">
        <v>144</v>
      </c>
      <c r="C86" s="46" t="s">
        <v>145</v>
      </c>
      <c r="D86" s="46" t="s">
        <v>146</v>
      </c>
      <c r="E86" s="46" t="s">
        <v>16</v>
      </c>
      <c r="F86" s="46">
        <v>175194</v>
      </c>
      <c r="G86" s="46">
        <v>5344</v>
      </c>
      <c r="H86" s="46">
        <v>957</v>
      </c>
      <c r="I86" s="46">
        <v>551</v>
      </c>
      <c r="J86" s="46">
        <v>261</v>
      </c>
      <c r="K86" s="46" t="s">
        <v>195</v>
      </c>
      <c r="L86" s="46" t="s">
        <v>196</v>
      </c>
      <c r="M86" s="46" t="s">
        <v>19</v>
      </c>
    </row>
    <row r="87" spans="1:13">
      <c r="A87" s="47">
        <v>45364</v>
      </c>
      <c r="B87" s="46" t="s">
        <v>13</v>
      </c>
      <c r="C87" s="46" t="s">
        <v>14</v>
      </c>
      <c r="D87" s="46" t="s">
        <v>15</v>
      </c>
      <c r="E87" s="46" t="s">
        <v>25</v>
      </c>
      <c r="F87" s="46">
        <v>185895</v>
      </c>
      <c r="G87" s="46">
        <v>10159</v>
      </c>
      <c r="H87" s="46">
        <v>1559</v>
      </c>
      <c r="I87" s="46">
        <v>796</v>
      </c>
      <c r="J87" s="46">
        <v>319</v>
      </c>
      <c r="K87" s="46" t="s">
        <v>197</v>
      </c>
      <c r="L87" s="46" t="s">
        <v>198</v>
      </c>
      <c r="M87" s="46" t="s">
        <v>35</v>
      </c>
    </row>
    <row r="88" spans="1:13">
      <c r="A88" s="47">
        <v>45365</v>
      </c>
      <c r="B88" s="46" t="s">
        <v>144</v>
      </c>
      <c r="C88" s="46" t="s">
        <v>145</v>
      </c>
      <c r="D88" s="46" t="s">
        <v>146</v>
      </c>
      <c r="E88" s="46" t="s">
        <v>16</v>
      </c>
      <c r="F88" s="46">
        <v>188495</v>
      </c>
      <c r="G88" s="46">
        <v>10549</v>
      </c>
      <c r="H88" s="46">
        <v>1800</v>
      </c>
      <c r="I88" s="46">
        <v>1004</v>
      </c>
      <c r="J88" s="46">
        <v>441</v>
      </c>
      <c r="K88" s="46" t="s">
        <v>199</v>
      </c>
      <c r="L88" s="46" t="s">
        <v>200</v>
      </c>
      <c r="M88" s="46" t="s">
        <v>19</v>
      </c>
    </row>
    <row r="89" spans="1:13">
      <c r="A89" s="47">
        <v>45365</v>
      </c>
      <c r="B89" s="46" t="s">
        <v>13</v>
      </c>
      <c r="C89" s="46" t="s">
        <v>14</v>
      </c>
      <c r="D89" s="46" t="s">
        <v>15</v>
      </c>
      <c r="E89" s="46" t="s">
        <v>25</v>
      </c>
      <c r="F89" s="46">
        <v>61348</v>
      </c>
      <c r="G89" s="46">
        <v>4749</v>
      </c>
      <c r="H89" s="46">
        <v>863</v>
      </c>
      <c r="I89" s="46">
        <v>560</v>
      </c>
      <c r="J89" s="46">
        <v>278</v>
      </c>
      <c r="K89" s="46" t="s">
        <v>201</v>
      </c>
      <c r="L89" s="46" t="s">
        <v>202</v>
      </c>
      <c r="M89" s="46" t="s">
        <v>46</v>
      </c>
    </row>
    <row r="90" spans="1:13">
      <c r="A90" s="47">
        <v>45366</v>
      </c>
      <c r="B90" s="46" t="s">
        <v>144</v>
      </c>
      <c r="C90" s="46" t="s">
        <v>145</v>
      </c>
      <c r="D90" s="46" t="s">
        <v>146</v>
      </c>
      <c r="E90" s="46" t="s">
        <v>16</v>
      </c>
      <c r="F90" s="46">
        <v>100344</v>
      </c>
      <c r="G90" s="46">
        <v>8008</v>
      </c>
      <c r="H90" s="46">
        <v>1473</v>
      </c>
      <c r="I90" s="46">
        <v>816</v>
      </c>
      <c r="J90" s="46">
        <v>424</v>
      </c>
      <c r="K90" s="46" t="s">
        <v>203</v>
      </c>
      <c r="L90" s="46" t="s">
        <v>204</v>
      </c>
      <c r="M90" s="46" t="s">
        <v>35</v>
      </c>
    </row>
    <row r="91" spans="1:13">
      <c r="A91" s="47">
        <v>45366</v>
      </c>
      <c r="B91" s="46" t="s">
        <v>13</v>
      </c>
      <c r="C91" s="46" t="s">
        <v>14</v>
      </c>
      <c r="D91" s="46" t="s">
        <v>15</v>
      </c>
      <c r="E91" s="46" t="s">
        <v>25</v>
      </c>
      <c r="F91" s="46">
        <v>194652</v>
      </c>
      <c r="G91" s="46">
        <v>12957</v>
      </c>
      <c r="H91" s="46">
        <v>2628</v>
      </c>
      <c r="I91" s="46">
        <v>1452</v>
      </c>
      <c r="J91" s="46">
        <v>793</v>
      </c>
      <c r="K91" s="46" t="s">
        <v>205</v>
      </c>
      <c r="L91" s="46" t="s">
        <v>206</v>
      </c>
      <c r="M91" s="46" t="s">
        <v>35</v>
      </c>
    </row>
    <row r="92" spans="1:13">
      <c r="A92" s="47">
        <v>45367</v>
      </c>
      <c r="B92" s="46" t="s">
        <v>144</v>
      </c>
      <c r="C92" s="46" t="s">
        <v>145</v>
      </c>
      <c r="D92" s="46" t="s">
        <v>146</v>
      </c>
      <c r="E92" s="46" t="s">
        <v>16</v>
      </c>
      <c r="F92" s="46">
        <v>275868</v>
      </c>
      <c r="G92" s="46">
        <v>10436</v>
      </c>
      <c r="H92" s="46">
        <v>1877</v>
      </c>
      <c r="I92" s="46">
        <v>1023</v>
      </c>
      <c r="J92" s="46">
        <v>453</v>
      </c>
      <c r="K92" s="46" t="s">
        <v>207</v>
      </c>
      <c r="L92" s="46" t="s">
        <v>208</v>
      </c>
      <c r="M92" s="46" t="s">
        <v>19</v>
      </c>
    </row>
    <row r="93" spans="1:13">
      <c r="A93" s="47">
        <v>45367</v>
      </c>
      <c r="B93" s="46" t="s">
        <v>13</v>
      </c>
      <c r="C93" s="46" t="s">
        <v>14</v>
      </c>
      <c r="D93" s="46" t="s">
        <v>15</v>
      </c>
      <c r="E93" s="46" t="s">
        <v>25</v>
      </c>
      <c r="F93" s="46">
        <v>144241</v>
      </c>
      <c r="G93" s="46">
        <v>6954</v>
      </c>
      <c r="H93" s="46">
        <v>1273</v>
      </c>
      <c r="I93" s="46">
        <v>706</v>
      </c>
      <c r="J93" s="46">
        <v>292</v>
      </c>
      <c r="K93" s="46" t="s">
        <v>209</v>
      </c>
      <c r="L93" s="46" t="s">
        <v>210</v>
      </c>
      <c r="M93" s="46" t="s">
        <v>35</v>
      </c>
    </row>
    <row r="94" spans="1:13">
      <c r="A94" s="47">
        <v>45368</v>
      </c>
      <c r="B94" s="46" t="s">
        <v>144</v>
      </c>
      <c r="C94" s="46" t="s">
        <v>145</v>
      </c>
      <c r="D94" s="46" t="s">
        <v>146</v>
      </c>
      <c r="E94" s="46" t="s">
        <v>16</v>
      </c>
      <c r="F94" s="46">
        <v>292584</v>
      </c>
      <c r="G94" s="46">
        <v>23331</v>
      </c>
      <c r="H94" s="46">
        <v>3605</v>
      </c>
      <c r="I94" s="46">
        <v>1899</v>
      </c>
      <c r="J94" s="46">
        <v>921</v>
      </c>
      <c r="K94" s="46" t="s">
        <v>211</v>
      </c>
      <c r="L94" s="46" t="s">
        <v>212</v>
      </c>
      <c r="M94" s="46" t="s">
        <v>19</v>
      </c>
    </row>
    <row r="95" spans="1:13">
      <c r="A95" s="47">
        <v>45368</v>
      </c>
      <c r="B95" s="46" t="s">
        <v>13</v>
      </c>
      <c r="C95" s="46" t="s">
        <v>14</v>
      </c>
      <c r="D95" s="46" t="s">
        <v>15</v>
      </c>
      <c r="E95" s="46" t="s">
        <v>28</v>
      </c>
      <c r="F95" s="46">
        <v>117460</v>
      </c>
      <c r="G95" s="46">
        <v>8173</v>
      </c>
      <c r="H95" s="46">
        <v>1756</v>
      </c>
      <c r="I95" s="46">
        <v>887</v>
      </c>
      <c r="J95" s="46">
        <v>365</v>
      </c>
      <c r="K95" s="46" t="s">
        <v>213</v>
      </c>
      <c r="L95" s="46" t="s">
        <v>214</v>
      </c>
      <c r="M95" s="46" t="s">
        <v>53</v>
      </c>
    </row>
    <row r="96" spans="1:13">
      <c r="A96" s="47">
        <v>45369</v>
      </c>
      <c r="B96" s="46" t="s">
        <v>144</v>
      </c>
      <c r="C96" s="46" t="s">
        <v>145</v>
      </c>
      <c r="D96" s="46" t="s">
        <v>146</v>
      </c>
      <c r="E96" s="46" t="s">
        <v>16</v>
      </c>
      <c r="F96" s="46">
        <v>160356</v>
      </c>
      <c r="G96" s="46">
        <v>10619</v>
      </c>
      <c r="H96" s="46">
        <v>2317</v>
      </c>
      <c r="I96" s="46">
        <v>1167</v>
      </c>
      <c r="J96" s="46">
        <v>687</v>
      </c>
      <c r="K96" s="46" t="s">
        <v>215</v>
      </c>
      <c r="L96" s="46" t="s">
        <v>216</v>
      </c>
      <c r="M96" s="46" t="s">
        <v>53</v>
      </c>
    </row>
    <row r="97" spans="1:13">
      <c r="A97" s="47">
        <v>45369</v>
      </c>
      <c r="B97" s="46" t="s">
        <v>13</v>
      </c>
      <c r="C97" s="46" t="s">
        <v>14</v>
      </c>
      <c r="D97" s="46" t="s">
        <v>15</v>
      </c>
      <c r="E97" s="46" t="s">
        <v>16</v>
      </c>
      <c r="F97" s="46">
        <v>58163</v>
      </c>
      <c r="G97" s="46">
        <v>3769</v>
      </c>
      <c r="H97" s="46">
        <v>797</v>
      </c>
      <c r="I97" s="46">
        <v>395</v>
      </c>
      <c r="J97" s="46">
        <v>178</v>
      </c>
      <c r="K97" s="46" t="s">
        <v>217</v>
      </c>
      <c r="L97" s="46" t="s">
        <v>218</v>
      </c>
      <c r="M97" s="46" t="s">
        <v>22</v>
      </c>
    </row>
    <row r="98" spans="1:13">
      <c r="A98" s="47">
        <v>45370</v>
      </c>
      <c r="B98" s="46" t="s">
        <v>144</v>
      </c>
      <c r="C98" s="46" t="s">
        <v>145</v>
      </c>
      <c r="D98" s="46" t="s">
        <v>146</v>
      </c>
      <c r="E98" s="46" t="s">
        <v>16</v>
      </c>
      <c r="F98" s="46">
        <v>172256</v>
      </c>
      <c r="G98" s="46">
        <v>8896</v>
      </c>
      <c r="H98" s="46">
        <v>2048</v>
      </c>
      <c r="I98" s="46">
        <v>985</v>
      </c>
      <c r="J98" s="46">
        <v>576</v>
      </c>
      <c r="K98" s="46" t="s">
        <v>219</v>
      </c>
      <c r="L98" s="46" t="s">
        <v>220</v>
      </c>
      <c r="M98" s="46" t="s">
        <v>35</v>
      </c>
    </row>
    <row r="99" spans="1:13">
      <c r="A99" s="47">
        <v>45370</v>
      </c>
      <c r="B99" s="46" t="s">
        <v>13</v>
      </c>
      <c r="C99" s="46" t="s">
        <v>14</v>
      </c>
      <c r="D99" s="46" t="s">
        <v>15</v>
      </c>
      <c r="E99" s="46" t="s">
        <v>16</v>
      </c>
      <c r="F99" s="46">
        <v>258133</v>
      </c>
      <c r="G99" s="46">
        <v>14755</v>
      </c>
      <c r="H99" s="46">
        <v>2438</v>
      </c>
      <c r="I99" s="46">
        <v>1536</v>
      </c>
      <c r="J99" s="46">
        <v>617</v>
      </c>
      <c r="K99" s="46" t="s">
        <v>221</v>
      </c>
      <c r="L99" s="46" t="s">
        <v>222</v>
      </c>
      <c r="M99" s="46" t="s">
        <v>53</v>
      </c>
    </row>
    <row r="100" spans="1:13">
      <c r="A100" s="47">
        <v>45371</v>
      </c>
      <c r="B100" s="46" t="s">
        <v>144</v>
      </c>
      <c r="C100" s="46" t="s">
        <v>145</v>
      </c>
      <c r="D100" s="46" t="s">
        <v>146</v>
      </c>
      <c r="E100" s="46" t="s">
        <v>16</v>
      </c>
      <c r="F100" s="46">
        <v>203648</v>
      </c>
      <c r="G100" s="46">
        <v>8947</v>
      </c>
      <c r="H100" s="46">
        <v>1995</v>
      </c>
      <c r="I100" s="46">
        <v>1108</v>
      </c>
      <c r="J100" s="46">
        <v>625</v>
      </c>
      <c r="K100" s="46" t="s">
        <v>223</v>
      </c>
      <c r="L100" s="46" t="s">
        <v>224</v>
      </c>
      <c r="M100" s="46" t="s">
        <v>53</v>
      </c>
    </row>
    <row r="101" spans="1:13">
      <c r="A101" s="47">
        <v>45371</v>
      </c>
      <c r="B101" s="46" t="s">
        <v>13</v>
      </c>
      <c r="C101" s="46" t="s">
        <v>14</v>
      </c>
      <c r="D101" s="46" t="s">
        <v>15</v>
      </c>
      <c r="E101" s="46" t="s">
        <v>25</v>
      </c>
      <c r="F101" s="46">
        <v>219527</v>
      </c>
      <c r="G101" s="46">
        <v>10693</v>
      </c>
      <c r="H101" s="46">
        <v>1929</v>
      </c>
      <c r="I101" s="46">
        <v>990</v>
      </c>
      <c r="J101" s="46">
        <v>415</v>
      </c>
      <c r="K101" s="46" t="s">
        <v>225</v>
      </c>
      <c r="L101" s="46" t="s">
        <v>226</v>
      </c>
      <c r="M101" s="46" t="s">
        <v>53</v>
      </c>
    </row>
    <row r="102" spans="1:13">
      <c r="A102" s="47">
        <v>45372</v>
      </c>
      <c r="B102" s="46" t="s">
        <v>144</v>
      </c>
      <c r="C102" s="46" t="s">
        <v>145</v>
      </c>
      <c r="D102" s="46" t="s">
        <v>146</v>
      </c>
      <c r="E102" s="46" t="s">
        <v>16</v>
      </c>
      <c r="F102" s="46">
        <v>85480</v>
      </c>
      <c r="G102" s="46">
        <v>4749</v>
      </c>
      <c r="H102" s="46">
        <v>1166</v>
      </c>
      <c r="I102" s="46">
        <v>617</v>
      </c>
      <c r="J102" s="46">
        <v>295</v>
      </c>
      <c r="K102" s="46" t="s">
        <v>227</v>
      </c>
      <c r="L102" s="46" t="s">
        <v>228</v>
      </c>
      <c r="M102" s="46" t="s">
        <v>22</v>
      </c>
    </row>
    <row r="103" spans="1:13">
      <c r="A103" s="47">
        <v>45372</v>
      </c>
      <c r="B103" s="46" t="s">
        <v>13</v>
      </c>
      <c r="C103" s="46" t="s">
        <v>14</v>
      </c>
      <c r="D103" s="46" t="s">
        <v>15</v>
      </c>
      <c r="E103" s="46" t="s">
        <v>16</v>
      </c>
      <c r="F103" s="46">
        <v>284030</v>
      </c>
      <c r="G103" s="46">
        <v>14236</v>
      </c>
      <c r="H103" s="46">
        <v>2183</v>
      </c>
      <c r="I103" s="46">
        <v>1152</v>
      </c>
      <c r="J103" s="46">
        <v>592</v>
      </c>
      <c r="K103" s="46" t="s">
        <v>229</v>
      </c>
      <c r="L103" s="46" t="s">
        <v>230</v>
      </c>
      <c r="M103" s="46" t="s">
        <v>22</v>
      </c>
    </row>
    <row r="104" spans="1:13">
      <c r="A104" s="47">
        <v>45373</v>
      </c>
      <c r="B104" s="46" t="s">
        <v>144</v>
      </c>
      <c r="C104" s="46" t="s">
        <v>145</v>
      </c>
      <c r="D104" s="46" t="s">
        <v>146</v>
      </c>
      <c r="E104" s="46" t="s">
        <v>16</v>
      </c>
      <c r="F104" s="46">
        <v>298776</v>
      </c>
      <c r="G104" s="46">
        <v>13733</v>
      </c>
      <c r="H104" s="46">
        <v>2795</v>
      </c>
      <c r="I104" s="46">
        <v>1309</v>
      </c>
      <c r="J104" s="46">
        <v>703</v>
      </c>
      <c r="K104" s="46" t="s">
        <v>231</v>
      </c>
      <c r="L104" s="46" t="s">
        <v>232</v>
      </c>
      <c r="M104" s="46" t="s">
        <v>19</v>
      </c>
    </row>
    <row r="105" spans="1:13">
      <c r="A105" s="47">
        <v>45373</v>
      </c>
      <c r="B105" s="46" t="s">
        <v>13</v>
      </c>
      <c r="C105" s="46" t="s">
        <v>14</v>
      </c>
      <c r="D105" s="46" t="s">
        <v>15</v>
      </c>
      <c r="E105" s="46" t="s">
        <v>25</v>
      </c>
      <c r="F105" s="46">
        <v>64434</v>
      </c>
      <c r="G105" s="46">
        <v>3679</v>
      </c>
      <c r="H105" s="46">
        <v>729</v>
      </c>
      <c r="I105" s="46">
        <v>397</v>
      </c>
      <c r="J105" s="46">
        <v>235</v>
      </c>
      <c r="K105" s="46" t="s">
        <v>233</v>
      </c>
      <c r="L105" s="46" t="s">
        <v>234</v>
      </c>
      <c r="M105" s="46" t="s">
        <v>46</v>
      </c>
    </row>
    <row r="106" spans="1:13">
      <c r="A106" s="47">
        <v>45374</v>
      </c>
      <c r="B106" s="46" t="s">
        <v>144</v>
      </c>
      <c r="C106" s="46" t="s">
        <v>145</v>
      </c>
      <c r="D106" s="46" t="s">
        <v>146</v>
      </c>
      <c r="E106" s="46" t="s">
        <v>16</v>
      </c>
      <c r="F106" s="46">
        <v>245366</v>
      </c>
      <c r="G106" s="46">
        <v>12959</v>
      </c>
      <c r="H106" s="46">
        <v>2802</v>
      </c>
      <c r="I106" s="46">
        <v>1515</v>
      </c>
      <c r="J106" s="46">
        <v>836</v>
      </c>
      <c r="K106" s="46" t="s">
        <v>235</v>
      </c>
      <c r="L106" s="46" t="s">
        <v>236</v>
      </c>
      <c r="M106" s="46" t="s">
        <v>22</v>
      </c>
    </row>
    <row r="107" spans="1:13">
      <c r="A107" s="47">
        <v>45374</v>
      </c>
      <c r="B107" s="46" t="s">
        <v>13</v>
      </c>
      <c r="C107" s="46" t="s">
        <v>14</v>
      </c>
      <c r="D107" s="46" t="s">
        <v>15</v>
      </c>
      <c r="E107" s="46" t="s">
        <v>28</v>
      </c>
      <c r="F107" s="46">
        <v>53724</v>
      </c>
      <c r="G107" s="46">
        <v>1683</v>
      </c>
      <c r="H107" s="46">
        <v>344</v>
      </c>
      <c r="I107" s="46">
        <v>159</v>
      </c>
      <c r="J107" s="46">
        <v>73</v>
      </c>
      <c r="K107" s="46" t="s">
        <v>237</v>
      </c>
      <c r="L107" s="46" t="s">
        <v>238</v>
      </c>
      <c r="M107" s="46" t="s">
        <v>53</v>
      </c>
    </row>
    <row r="108" spans="1:13">
      <c r="A108" s="47">
        <v>45375</v>
      </c>
      <c r="B108" s="46" t="s">
        <v>144</v>
      </c>
      <c r="C108" s="46" t="s">
        <v>145</v>
      </c>
      <c r="D108" s="46" t="s">
        <v>146</v>
      </c>
      <c r="E108" s="46" t="s">
        <v>16</v>
      </c>
      <c r="F108" s="46">
        <v>240769</v>
      </c>
      <c r="G108" s="46">
        <v>8468</v>
      </c>
      <c r="H108" s="46">
        <v>1835</v>
      </c>
      <c r="I108" s="46">
        <v>987</v>
      </c>
      <c r="J108" s="46">
        <v>400</v>
      </c>
      <c r="K108" s="46" t="s">
        <v>239</v>
      </c>
      <c r="L108" s="46" t="s">
        <v>240</v>
      </c>
      <c r="M108" s="46" t="s">
        <v>53</v>
      </c>
    </row>
    <row r="109" spans="1:13">
      <c r="A109" s="47">
        <v>45375</v>
      </c>
      <c r="B109" s="46" t="s">
        <v>13</v>
      </c>
      <c r="C109" s="46" t="s">
        <v>14</v>
      </c>
      <c r="D109" s="46" t="s">
        <v>15</v>
      </c>
      <c r="E109" s="46" t="s">
        <v>16</v>
      </c>
      <c r="F109" s="46">
        <v>79876</v>
      </c>
      <c r="G109" s="46">
        <v>4171</v>
      </c>
      <c r="H109" s="46">
        <v>757</v>
      </c>
      <c r="I109" s="46">
        <v>434</v>
      </c>
      <c r="J109" s="46">
        <v>226</v>
      </c>
      <c r="K109" s="46" t="s">
        <v>241</v>
      </c>
      <c r="L109" s="46" t="s">
        <v>242</v>
      </c>
      <c r="M109" s="46" t="s">
        <v>22</v>
      </c>
    </row>
    <row r="110" spans="1:13">
      <c r="A110" s="47">
        <v>45376</v>
      </c>
      <c r="B110" s="46" t="s">
        <v>144</v>
      </c>
      <c r="C110" s="46" t="s">
        <v>145</v>
      </c>
      <c r="D110" s="46" t="s">
        <v>146</v>
      </c>
      <c r="E110" s="46" t="s">
        <v>16</v>
      </c>
      <c r="F110" s="46">
        <v>122186</v>
      </c>
      <c r="G110" s="46">
        <v>5865</v>
      </c>
      <c r="H110" s="46">
        <v>1463</v>
      </c>
      <c r="I110" s="46">
        <v>777</v>
      </c>
      <c r="J110" s="46">
        <v>313</v>
      </c>
      <c r="K110" s="46" t="s">
        <v>243</v>
      </c>
      <c r="L110" s="46" t="s">
        <v>244</v>
      </c>
      <c r="M110" s="46" t="s">
        <v>53</v>
      </c>
    </row>
    <row r="111" spans="1:13">
      <c r="A111" s="47">
        <v>45376</v>
      </c>
      <c r="B111" s="46" t="s">
        <v>13</v>
      </c>
      <c r="C111" s="46" t="s">
        <v>14</v>
      </c>
      <c r="D111" s="46" t="s">
        <v>15</v>
      </c>
      <c r="E111" s="46" t="s">
        <v>16</v>
      </c>
      <c r="F111" s="46">
        <v>199247</v>
      </c>
      <c r="G111" s="46">
        <v>9891</v>
      </c>
      <c r="H111" s="46">
        <v>2264</v>
      </c>
      <c r="I111" s="46">
        <v>1217</v>
      </c>
      <c r="J111" s="46">
        <v>616</v>
      </c>
      <c r="K111" s="46" t="s">
        <v>245</v>
      </c>
      <c r="L111" s="46" t="s">
        <v>246</v>
      </c>
      <c r="M111" s="46" t="s">
        <v>35</v>
      </c>
    </row>
    <row r="112" spans="1:13">
      <c r="A112" s="47">
        <v>45377</v>
      </c>
      <c r="B112" s="46" t="s">
        <v>144</v>
      </c>
      <c r="C112" s="46" t="s">
        <v>145</v>
      </c>
      <c r="D112" s="46" t="s">
        <v>146</v>
      </c>
      <c r="E112" s="46" t="s">
        <v>16</v>
      </c>
      <c r="F112" s="46">
        <v>274044</v>
      </c>
      <c r="G112" s="46">
        <v>13557</v>
      </c>
      <c r="H112" s="46">
        <v>2893</v>
      </c>
      <c r="I112" s="46">
        <v>1644</v>
      </c>
      <c r="J112" s="46">
        <v>828</v>
      </c>
      <c r="K112" s="46" t="s">
        <v>247</v>
      </c>
      <c r="L112" s="46" t="s">
        <v>248</v>
      </c>
      <c r="M112" s="46" t="s">
        <v>22</v>
      </c>
    </row>
    <row r="113" spans="1:13">
      <c r="A113" s="47">
        <v>45377</v>
      </c>
      <c r="B113" s="46" t="s">
        <v>13</v>
      </c>
      <c r="C113" s="46" t="s">
        <v>14</v>
      </c>
      <c r="D113" s="46" t="s">
        <v>15</v>
      </c>
      <c r="E113" s="46" t="s">
        <v>25</v>
      </c>
      <c r="F113" s="46">
        <v>244500</v>
      </c>
      <c r="G113" s="46">
        <v>9131</v>
      </c>
      <c r="H113" s="46">
        <v>2098</v>
      </c>
      <c r="I113" s="46">
        <v>1346</v>
      </c>
      <c r="J113" s="46">
        <v>655</v>
      </c>
      <c r="K113" s="46" t="s">
        <v>249</v>
      </c>
      <c r="L113" s="46" t="s">
        <v>250</v>
      </c>
      <c r="M113" s="46" t="s">
        <v>35</v>
      </c>
    </row>
    <row r="114" spans="1:13">
      <c r="A114" s="47">
        <v>45378</v>
      </c>
      <c r="B114" s="46" t="s">
        <v>144</v>
      </c>
      <c r="C114" s="46" t="s">
        <v>145</v>
      </c>
      <c r="D114" s="46" t="s">
        <v>146</v>
      </c>
      <c r="E114" s="46" t="s">
        <v>16</v>
      </c>
      <c r="F114" s="46">
        <v>75569</v>
      </c>
      <c r="G114" s="46">
        <v>3044</v>
      </c>
      <c r="H114" s="46">
        <v>699</v>
      </c>
      <c r="I114" s="46">
        <v>363</v>
      </c>
      <c r="J114" s="46">
        <v>210</v>
      </c>
      <c r="K114" s="46" t="s">
        <v>251</v>
      </c>
      <c r="L114" s="46" t="s">
        <v>252</v>
      </c>
      <c r="M114" s="46" t="s">
        <v>46</v>
      </c>
    </row>
    <row r="115" spans="1:13">
      <c r="A115" s="47">
        <v>45378</v>
      </c>
      <c r="B115" s="46" t="s">
        <v>13</v>
      </c>
      <c r="C115" s="46" t="s">
        <v>14</v>
      </c>
      <c r="D115" s="46" t="s">
        <v>15</v>
      </c>
      <c r="E115" s="46" t="s">
        <v>16</v>
      </c>
      <c r="F115" s="46">
        <v>62090</v>
      </c>
      <c r="G115" s="46">
        <v>3649</v>
      </c>
      <c r="H115" s="46">
        <v>636</v>
      </c>
      <c r="I115" s="46">
        <v>301</v>
      </c>
      <c r="J115" s="46">
        <v>174</v>
      </c>
      <c r="K115" s="46" t="s">
        <v>253</v>
      </c>
      <c r="L115" s="46" t="s">
        <v>254</v>
      </c>
      <c r="M115" s="46" t="s">
        <v>53</v>
      </c>
    </row>
    <row r="116" spans="1:13">
      <c r="A116" s="47">
        <v>45379</v>
      </c>
      <c r="B116" s="46" t="s">
        <v>144</v>
      </c>
      <c r="C116" s="46" t="s">
        <v>145</v>
      </c>
      <c r="D116" s="46" t="s">
        <v>146</v>
      </c>
      <c r="E116" s="46" t="s">
        <v>16</v>
      </c>
      <c r="F116" s="46">
        <v>151614</v>
      </c>
      <c r="G116" s="46">
        <v>5544</v>
      </c>
      <c r="H116" s="46">
        <v>1000</v>
      </c>
      <c r="I116" s="46">
        <v>552</v>
      </c>
      <c r="J116" s="46">
        <v>221</v>
      </c>
      <c r="K116" s="46" t="s">
        <v>255</v>
      </c>
      <c r="L116" s="46" t="s">
        <v>256</v>
      </c>
      <c r="M116" s="46" t="s">
        <v>53</v>
      </c>
    </row>
    <row r="117" spans="1:13">
      <c r="A117" s="47">
        <v>45379</v>
      </c>
      <c r="B117" s="46" t="s">
        <v>13</v>
      </c>
      <c r="C117" s="46" t="s">
        <v>14</v>
      </c>
      <c r="D117" s="46" t="s">
        <v>15</v>
      </c>
      <c r="E117" s="46" t="s">
        <v>16</v>
      </c>
      <c r="F117" s="46">
        <v>275576</v>
      </c>
      <c r="G117" s="46">
        <v>19381</v>
      </c>
      <c r="H117" s="46">
        <v>2993</v>
      </c>
      <c r="I117" s="46">
        <v>1920</v>
      </c>
      <c r="J117" s="46">
        <v>883</v>
      </c>
      <c r="K117" s="46" t="s">
        <v>257</v>
      </c>
      <c r="L117" s="46" t="s">
        <v>258</v>
      </c>
      <c r="M117" s="46" t="s">
        <v>46</v>
      </c>
    </row>
    <row r="118" spans="1:13">
      <c r="A118" s="47">
        <v>45380</v>
      </c>
      <c r="B118" s="46" t="s">
        <v>144</v>
      </c>
      <c r="C118" s="46" t="s">
        <v>145</v>
      </c>
      <c r="D118" s="46" t="s">
        <v>146</v>
      </c>
      <c r="E118" s="46" t="s">
        <v>16</v>
      </c>
      <c r="F118" s="46">
        <v>128767</v>
      </c>
      <c r="G118" s="46">
        <v>7454</v>
      </c>
      <c r="H118" s="46">
        <v>1142</v>
      </c>
      <c r="I118" s="46">
        <v>540</v>
      </c>
      <c r="J118" s="46">
        <v>253</v>
      </c>
      <c r="K118" s="46" t="s">
        <v>259</v>
      </c>
      <c r="L118" s="46" t="s">
        <v>260</v>
      </c>
      <c r="M118" s="46" t="s">
        <v>19</v>
      </c>
    </row>
    <row r="119" spans="1:13">
      <c r="A119" s="47">
        <v>45380</v>
      </c>
      <c r="B119" s="46" t="s">
        <v>13</v>
      </c>
      <c r="C119" s="46" t="s">
        <v>14</v>
      </c>
      <c r="D119" s="46" t="s">
        <v>15</v>
      </c>
      <c r="E119" s="46" t="s">
        <v>28</v>
      </c>
      <c r="F119" s="46">
        <v>94022</v>
      </c>
      <c r="G119" s="46">
        <v>2854</v>
      </c>
      <c r="H119" s="46">
        <v>695</v>
      </c>
      <c r="I119" s="46">
        <v>411</v>
      </c>
      <c r="J119" s="46">
        <v>192</v>
      </c>
      <c r="K119" s="46" t="s">
        <v>261</v>
      </c>
      <c r="L119" s="46" t="s">
        <v>262</v>
      </c>
      <c r="M119" s="46" t="s">
        <v>22</v>
      </c>
    </row>
    <row r="120" spans="1:13">
      <c r="A120" s="47">
        <v>45381</v>
      </c>
      <c r="B120" s="46" t="s">
        <v>144</v>
      </c>
      <c r="C120" s="46" t="s">
        <v>145</v>
      </c>
      <c r="D120" s="46" t="s">
        <v>146</v>
      </c>
      <c r="E120" s="46" t="s">
        <v>16</v>
      </c>
      <c r="F120" s="46">
        <v>168427</v>
      </c>
      <c r="G120" s="46">
        <v>7496</v>
      </c>
      <c r="H120" s="46">
        <v>1354</v>
      </c>
      <c r="I120" s="46">
        <v>707</v>
      </c>
      <c r="J120" s="46">
        <v>399</v>
      </c>
      <c r="K120" s="46" t="s">
        <v>263</v>
      </c>
      <c r="L120" s="46" t="s">
        <v>264</v>
      </c>
      <c r="M120" s="46" t="s">
        <v>22</v>
      </c>
    </row>
    <row r="121" spans="1:13">
      <c r="A121" s="47">
        <v>45381</v>
      </c>
      <c r="B121" s="46" t="s">
        <v>13</v>
      </c>
      <c r="C121" s="46" t="s">
        <v>14</v>
      </c>
      <c r="D121" s="46" t="s">
        <v>15</v>
      </c>
      <c r="E121" s="46" t="s">
        <v>16</v>
      </c>
      <c r="F121" s="46">
        <v>153437</v>
      </c>
      <c r="G121" s="46">
        <v>5657</v>
      </c>
      <c r="H121" s="46">
        <v>1049</v>
      </c>
      <c r="I121" s="46">
        <v>519</v>
      </c>
      <c r="J121" s="46">
        <v>211</v>
      </c>
      <c r="K121" s="46" t="s">
        <v>265</v>
      </c>
      <c r="L121" s="46" t="s">
        <v>266</v>
      </c>
      <c r="M121" s="46" t="s">
        <v>35</v>
      </c>
    </row>
    <row r="122" spans="1:13">
      <c r="A122" s="47">
        <v>45382</v>
      </c>
      <c r="B122" s="46" t="s">
        <v>144</v>
      </c>
      <c r="C122" s="46" t="s">
        <v>145</v>
      </c>
      <c r="D122" s="46" t="s">
        <v>146</v>
      </c>
      <c r="E122" s="46" t="s">
        <v>16</v>
      </c>
      <c r="F122" s="46">
        <v>80636</v>
      </c>
      <c r="G122" s="46">
        <v>5687</v>
      </c>
      <c r="H122" s="46">
        <v>1072</v>
      </c>
      <c r="I122" s="46">
        <v>607</v>
      </c>
      <c r="J122" s="46">
        <v>344</v>
      </c>
      <c r="K122" s="46" t="s">
        <v>267</v>
      </c>
      <c r="L122" s="46" t="s">
        <v>268</v>
      </c>
      <c r="M122" s="46" t="s">
        <v>35</v>
      </c>
    </row>
    <row r="123" spans="1:13">
      <c r="A123" s="47">
        <v>45382</v>
      </c>
      <c r="B123" s="46" t="s">
        <v>13</v>
      </c>
      <c r="C123" s="46" t="s">
        <v>14</v>
      </c>
      <c r="D123" s="46" t="s">
        <v>15</v>
      </c>
      <c r="E123" s="46" t="s">
        <v>28</v>
      </c>
      <c r="F123" s="46">
        <v>158630</v>
      </c>
      <c r="G123" s="46">
        <v>4927</v>
      </c>
      <c r="H123" s="46">
        <v>822</v>
      </c>
      <c r="I123" s="46">
        <v>475</v>
      </c>
      <c r="J123" s="46">
        <v>264</v>
      </c>
      <c r="K123" s="46" t="s">
        <v>269</v>
      </c>
      <c r="L123" s="46" t="s">
        <v>270</v>
      </c>
      <c r="M123" s="46" t="s">
        <v>35</v>
      </c>
    </row>
    <row r="124" spans="1:13">
      <c r="A124" s="47">
        <v>45383</v>
      </c>
      <c r="B124" s="46" t="s">
        <v>144</v>
      </c>
      <c r="C124" s="46" t="s">
        <v>145</v>
      </c>
      <c r="D124" s="46" t="s">
        <v>146</v>
      </c>
      <c r="E124" s="46" t="s">
        <v>16</v>
      </c>
      <c r="F124" s="46">
        <v>186499</v>
      </c>
      <c r="G124" s="46">
        <v>6536</v>
      </c>
      <c r="H124" s="46">
        <v>1354</v>
      </c>
      <c r="I124" s="46">
        <v>621</v>
      </c>
      <c r="J124" s="46">
        <v>368</v>
      </c>
      <c r="K124" s="46" t="s">
        <v>271</v>
      </c>
      <c r="L124" s="46" t="s">
        <v>272</v>
      </c>
      <c r="M124" s="46" t="s">
        <v>19</v>
      </c>
    </row>
    <row r="125" spans="1:13">
      <c r="A125" s="47">
        <v>45384</v>
      </c>
      <c r="B125" s="46" t="s">
        <v>144</v>
      </c>
      <c r="C125" s="46" t="s">
        <v>145</v>
      </c>
      <c r="D125" s="46" t="s">
        <v>146</v>
      </c>
      <c r="E125" s="46" t="s">
        <v>16</v>
      </c>
      <c r="F125" s="46">
        <v>280440</v>
      </c>
      <c r="G125" s="46">
        <v>19647</v>
      </c>
      <c r="H125" s="46">
        <v>3222</v>
      </c>
      <c r="I125" s="46">
        <v>1784</v>
      </c>
      <c r="J125" s="46">
        <v>885</v>
      </c>
      <c r="K125" s="46" t="s">
        <v>273</v>
      </c>
      <c r="L125" s="46" t="s">
        <v>274</v>
      </c>
      <c r="M125" s="46" t="s">
        <v>22</v>
      </c>
    </row>
    <row r="126" spans="1:13">
      <c r="A126" s="47">
        <v>45385</v>
      </c>
      <c r="B126" s="46" t="s">
        <v>144</v>
      </c>
      <c r="C126" s="46" t="s">
        <v>145</v>
      </c>
      <c r="D126" s="46" t="s">
        <v>146</v>
      </c>
      <c r="E126" s="46" t="s">
        <v>16</v>
      </c>
      <c r="F126" s="46">
        <v>79911</v>
      </c>
      <c r="G126" s="46">
        <v>2837</v>
      </c>
      <c r="H126" s="46">
        <v>458</v>
      </c>
      <c r="I126" s="46">
        <v>283</v>
      </c>
      <c r="J126" s="46">
        <v>153</v>
      </c>
      <c r="K126" s="46" t="s">
        <v>275</v>
      </c>
      <c r="L126" s="46" t="s">
        <v>276</v>
      </c>
      <c r="M126" s="46" t="s">
        <v>53</v>
      </c>
    </row>
    <row r="127" spans="1:13">
      <c r="A127" s="47">
        <v>45386</v>
      </c>
      <c r="B127" s="46" t="s">
        <v>144</v>
      </c>
      <c r="C127" s="46" t="s">
        <v>145</v>
      </c>
      <c r="D127" s="46" t="s">
        <v>146</v>
      </c>
      <c r="E127" s="46" t="s">
        <v>16</v>
      </c>
      <c r="F127" s="46">
        <v>274653</v>
      </c>
      <c r="G127" s="46">
        <v>14146</v>
      </c>
      <c r="H127" s="46">
        <v>2816</v>
      </c>
      <c r="I127" s="46">
        <v>1386</v>
      </c>
      <c r="J127" s="46">
        <v>561</v>
      </c>
      <c r="K127" s="46" t="s">
        <v>277</v>
      </c>
      <c r="L127" s="46" t="s">
        <v>278</v>
      </c>
      <c r="M127" s="46" t="s">
        <v>19</v>
      </c>
    </row>
    <row r="128" spans="1:13">
      <c r="A128" s="47">
        <v>45387</v>
      </c>
      <c r="B128" s="46" t="s">
        <v>144</v>
      </c>
      <c r="C128" s="46" t="s">
        <v>145</v>
      </c>
      <c r="D128" s="46" t="s">
        <v>146</v>
      </c>
      <c r="E128" s="46" t="s">
        <v>16</v>
      </c>
      <c r="F128" s="46">
        <v>165340</v>
      </c>
      <c r="G128" s="46">
        <v>10645</v>
      </c>
      <c r="H128" s="46">
        <v>1684</v>
      </c>
      <c r="I128" s="46">
        <v>807</v>
      </c>
      <c r="J128" s="46">
        <v>389</v>
      </c>
      <c r="K128" s="46" t="s">
        <v>279</v>
      </c>
      <c r="L128" s="46" t="s">
        <v>280</v>
      </c>
      <c r="M128" s="46" t="s">
        <v>19</v>
      </c>
    </row>
    <row r="129" spans="1:13">
      <c r="A129" s="47">
        <v>45388</v>
      </c>
      <c r="B129" s="46" t="s">
        <v>144</v>
      </c>
      <c r="C129" s="46" t="s">
        <v>145</v>
      </c>
      <c r="D129" s="46" t="s">
        <v>146</v>
      </c>
      <c r="E129" s="46" t="s">
        <v>16</v>
      </c>
      <c r="F129" s="46">
        <v>282778</v>
      </c>
      <c r="G129" s="46">
        <v>15067</v>
      </c>
      <c r="H129" s="46">
        <v>2772</v>
      </c>
      <c r="I129" s="46">
        <v>1717</v>
      </c>
      <c r="J129" s="46">
        <v>949</v>
      </c>
      <c r="K129" s="46" t="s">
        <v>281</v>
      </c>
      <c r="L129" s="46" t="s">
        <v>282</v>
      </c>
      <c r="M129" s="46" t="s">
        <v>19</v>
      </c>
    </row>
    <row r="130" spans="1:13">
      <c r="A130" s="47">
        <v>45389</v>
      </c>
      <c r="B130" s="46" t="s">
        <v>144</v>
      </c>
      <c r="C130" s="46" t="s">
        <v>145</v>
      </c>
      <c r="D130" s="46" t="s">
        <v>146</v>
      </c>
      <c r="E130" s="46" t="s">
        <v>16</v>
      </c>
      <c r="F130" s="46">
        <v>285987</v>
      </c>
      <c r="G130" s="46">
        <v>22561</v>
      </c>
      <c r="H130" s="46">
        <v>5121</v>
      </c>
      <c r="I130" s="46">
        <v>2466</v>
      </c>
      <c r="J130" s="46">
        <v>1091</v>
      </c>
      <c r="K130" s="46" t="s">
        <v>283</v>
      </c>
      <c r="L130" s="46" t="s">
        <v>284</v>
      </c>
      <c r="M130" s="46" t="s">
        <v>46</v>
      </c>
    </row>
    <row r="131" spans="1:13">
      <c r="A131" s="47">
        <v>45390</v>
      </c>
      <c r="B131" s="46" t="s">
        <v>144</v>
      </c>
      <c r="C131" s="46" t="s">
        <v>145</v>
      </c>
      <c r="D131" s="46" t="s">
        <v>146</v>
      </c>
      <c r="E131" s="46" t="s">
        <v>16</v>
      </c>
      <c r="F131" s="46">
        <v>200034</v>
      </c>
      <c r="G131" s="46">
        <v>14443</v>
      </c>
      <c r="H131" s="46">
        <v>3338</v>
      </c>
      <c r="I131" s="46">
        <v>1578</v>
      </c>
      <c r="J131" s="46">
        <v>716</v>
      </c>
      <c r="K131" s="46" t="s">
        <v>285</v>
      </c>
      <c r="L131" s="46" t="s">
        <v>286</v>
      </c>
      <c r="M131" s="46" t="s">
        <v>46</v>
      </c>
    </row>
    <row r="132" spans="1:13">
      <c r="A132" s="47">
        <v>45391</v>
      </c>
      <c r="B132" s="46" t="s">
        <v>144</v>
      </c>
      <c r="C132" s="46" t="s">
        <v>145</v>
      </c>
      <c r="D132" s="46" t="s">
        <v>146</v>
      </c>
      <c r="E132" s="46" t="s">
        <v>16</v>
      </c>
      <c r="F132" s="46">
        <v>114098</v>
      </c>
      <c r="G132" s="46">
        <v>4796</v>
      </c>
      <c r="H132" s="46">
        <v>979</v>
      </c>
      <c r="I132" s="46">
        <v>559</v>
      </c>
      <c r="J132" s="46">
        <v>277</v>
      </c>
      <c r="K132" s="46" t="s">
        <v>287</v>
      </c>
      <c r="L132" s="46" t="s">
        <v>288</v>
      </c>
      <c r="M132" s="46" t="s">
        <v>46</v>
      </c>
    </row>
    <row r="133" spans="1:13">
      <c r="A133" s="47">
        <v>45392</v>
      </c>
      <c r="B133" s="46" t="s">
        <v>144</v>
      </c>
      <c r="C133" s="46" t="s">
        <v>145</v>
      </c>
      <c r="D133" s="46" t="s">
        <v>146</v>
      </c>
      <c r="E133" s="46" t="s">
        <v>16</v>
      </c>
      <c r="F133" s="46">
        <v>230730</v>
      </c>
      <c r="G133" s="46">
        <v>8044</v>
      </c>
      <c r="H133" s="46">
        <v>1273</v>
      </c>
      <c r="I133" s="46">
        <v>591</v>
      </c>
      <c r="J133" s="46">
        <v>285</v>
      </c>
      <c r="K133" s="46" t="s">
        <v>289</v>
      </c>
      <c r="L133" s="46" t="s">
        <v>290</v>
      </c>
      <c r="M133" s="46" t="s">
        <v>22</v>
      </c>
    </row>
    <row r="134" spans="1:13">
      <c r="A134" s="47">
        <v>45393</v>
      </c>
      <c r="B134" s="46" t="s">
        <v>144</v>
      </c>
      <c r="C134" s="46" t="s">
        <v>145</v>
      </c>
      <c r="D134" s="46" t="s">
        <v>146</v>
      </c>
      <c r="E134" s="46" t="s">
        <v>16</v>
      </c>
      <c r="F134" s="46">
        <v>221570</v>
      </c>
      <c r="G134" s="46">
        <v>12355</v>
      </c>
      <c r="H134" s="46">
        <v>2256</v>
      </c>
      <c r="I134" s="46">
        <v>1301</v>
      </c>
      <c r="J134" s="46">
        <v>521</v>
      </c>
      <c r="K134" s="46" t="s">
        <v>291</v>
      </c>
      <c r="L134" s="46" t="s">
        <v>292</v>
      </c>
      <c r="M134" s="46" t="s">
        <v>46</v>
      </c>
    </row>
    <row r="135" spans="1:13">
      <c r="A135" s="47">
        <v>45394</v>
      </c>
      <c r="B135" s="46" t="s">
        <v>144</v>
      </c>
      <c r="C135" s="46" t="s">
        <v>145</v>
      </c>
      <c r="D135" s="46" t="s">
        <v>146</v>
      </c>
      <c r="E135" s="46" t="s">
        <v>16</v>
      </c>
      <c r="F135" s="46">
        <v>241871</v>
      </c>
      <c r="G135" s="46">
        <v>18824</v>
      </c>
      <c r="H135" s="46">
        <v>3533</v>
      </c>
      <c r="I135" s="46">
        <v>2181</v>
      </c>
      <c r="J135" s="46">
        <v>917</v>
      </c>
      <c r="K135" s="46" t="s">
        <v>293</v>
      </c>
      <c r="L135" s="46" t="s">
        <v>294</v>
      </c>
      <c r="M135" s="46" t="s">
        <v>53</v>
      </c>
    </row>
    <row r="136" spans="1:13">
      <c r="A136" s="47">
        <v>45395</v>
      </c>
      <c r="B136" s="46" t="s">
        <v>144</v>
      </c>
      <c r="C136" s="46" t="s">
        <v>145</v>
      </c>
      <c r="D136" s="46" t="s">
        <v>146</v>
      </c>
      <c r="E136" s="46" t="s">
        <v>16</v>
      </c>
      <c r="F136" s="46">
        <v>288853</v>
      </c>
      <c r="G136" s="46">
        <v>12032</v>
      </c>
      <c r="H136" s="46">
        <v>2732</v>
      </c>
      <c r="I136" s="46">
        <v>1717</v>
      </c>
      <c r="J136" s="46">
        <v>785</v>
      </c>
      <c r="K136" s="46" t="s">
        <v>295</v>
      </c>
      <c r="L136" s="46" t="s">
        <v>296</v>
      </c>
      <c r="M136" s="46" t="s">
        <v>35</v>
      </c>
    </row>
    <row r="137" spans="1:13">
      <c r="A137" s="47">
        <v>45396</v>
      </c>
      <c r="B137" s="46" t="s">
        <v>144</v>
      </c>
      <c r="C137" s="46" t="s">
        <v>145</v>
      </c>
      <c r="D137" s="46" t="s">
        <v>146</v>
      </c>
      <c r="E137" s="46" t="s">
        <v>16</v>
      </c>
      <c r="F137" s="46">
        <v>213540</v>
      </c>
      <c r="G137" s="46">
        <v>14462</v>
      </c>
      <c r="H137" s="46">
        <v>3456</v>
      </c>
      <c r="I137" s="46">
        <v>1678</v>
      </c>
      <c r="J137" s="46">
        <v>696</v>
      </c>
      <c r="K137" s="46" t="s">
        <v>297</v>
      </c>
      <c r="L137" s="46" t="s">
        <v>298</v>
      </c>
      <c r="M137" s="46" t="s">
        <v>19</v>
      </c>
    </row>
    <row r="138" spans="1:13">
      <c r="A138" s="47">
        <v>45397</v>
      </c>
      <c r="B138" s="46" t="s">
        <v>144</v>
      </c>
      <c r="C138" s="46" t="s">
        <v>145</v>
      </c>
      <c r="D138" s="46" t="s">
        <v>146</v>
      </c>
      <c r="E138" s="46" t="s">
        <v>16</v>
      </c>
      <c r="F138" s="46">
        <v>72233</v>
      </c>
      <c r="G138" s="46">
        <v>3762</v>
      </c>
      <c r="H138" s="46">
        <v>590</v>
      </c>
      <c r="I138" s="46">
        <v>318</v>
      </c>
      <c r="J138" s="46">
        <v>184</v>
      </c>
      <c r="K138" s="46" t="s">
        <v>299</v>
      </c>
      <c r="L138" s="46" t="s">
        <v>300</v>
      </c>
      <c r="M138" s="46" t="s">
        <v>19</v>
      </c>
    </row>
    <row r="139" spans="1:13">
      <c r="A139" s="47">
        <v>45398</v>
      </c>
      <c r="B139" s="46" t="s">
        <v>144</v>
      </c>
      <c r="C139" s="46" t="s">
        <v>145</v>
      </c>
      <c r="D139" s="46" t="s">
        <v>146</v>
      </c>
      <c r="E139" s="46" t="s">
        <v>16</v>
      </c>
      <c r="F139" s="46">
        <v>167205</v>
      </c>
      <c r="G139" s="46">
        <v>5074</v>
      </c>
      <c r="H139" s="46">
        <v>1208</v>
      </c>
      <c r="I139" s="46">
        <v>604</v>
      </c>
      <c r="J139" s="46">
        <v>322</v>
      </c>
      <c r="K139" s="46" t="s">
        <v>301</v>
      </c>
      <c r="L139" s="46" t="s">
        <v>302</v>
      </c>
      <c r="M139" s="46" t="s">
        <v>19</v>
      </c>
    </row>
    <row r="140" spans="1:13">
      <c r="A140" s="47">
        <v>45399</v>
      </c>
      <c r="B140" s="46" t="s">
        <v>144</v>
      </c>
      <c r="C140" s="46" t="s">
        <v>145</v>
      </c>
      <c r="D140" s="46" t="s">
        <v>146</v>
      </c>
      <c r="E140" s="46" t="s">
        <v>16</v>
      </c>
      <c r="F140" s="46">
        <v>234584</v>
      </c>
      <c r="G140" s="46">
        <v>15677</v>
      </c>
      <c r="H140" s="46">
        <v>3010</v>
      </c>
      <c r="I140" s="46">
        <v>1913</v>
      </c>
      <c r="J140" s="46">
        <v>842</v>
      </c>
      <c r="K140" s="46" t="s">
        <v>303</v>
      </c>
      <c r="L140" s="46" t="s">
        <v>304</v>
      </c>
      <c r="M140" s="46" t="s">
        <v>19</v>
      </c>
    </row>
    <row r="141" spans="1:13">
      <c r="A141" s="47">
        <v>45400</v>
      </c>
      <c r="B141" s="46" t="s">
        <v>144</v>
      </c>
      <c r="C141" s="46" t="s">
        <v>145</v>
      </c>
      <c r="D141" s="46" t="s">
        <v>146</v>
      </c>
      <c r="E141" s="46" t="s">
        <v>16</v>
      </c>
      <c r="F141" s="46">
        <v>50267</v>
      </c>
      <c r="G141" s="46">
        <v>3518</v>
      </c>
      <c r="H141" s="46">
        <v>817</v>
      </c>
      <c r="I141" s="46">
        <v>515</v>
      </c>
      <c r="J141" s="46">
        <v>226</v>
      </c>
      <c r="K141" s="46" t="s">
        <v>305</v>
      </c>
      <c r="L141" s="46" t="s">
        <v>306</v>
      </c>
      <c r="M141" s="46" t="s">
        <v>19</v>
      </c>
    </row>
    <row r="142" spans="1:13">
      <c r="A142" s="47">
        <v>45401</v>
      </c>
      <c r="B142" s="46" t="s">
        <v>144</v>
      </c>
      <c r="C142" s="46" t="s">
        <v>145</v>
      </c>
      <c r="D142" s="46" t="s">
        <v>146</v>
      </c>
      <c r="E142" s="46" t="s">
        <v>16</v>
      </c>
      <c r="F142" s="46">
        <v>147737</v>
      </c>
      <c r="G142" s="46">
        <v>9789</v>
      </c>
      <c r="H142" s="46">
        <v>2427</v>
      </c>
      <c r="I142" s="46">
        <v>1461</v>
      </c>
      <c r="J142" s="46">
        <v>710</v>
      </c>
      <c r="K142" s="46" t="s">
        <v>307</v>
      </c>
      <c r="L142" s="46" t="s">
        <v>308</v>
      </c>
      <c r="M142" s="46" t="s">
        <v>53</v>
      </c>
    </row>
    <row r="143" spans="1:13">
      <c r="A143" s="47">
        <v>45402</v>
      </c>
      <c r="B143" s="46" t="s">
        <v>144</v>
      </c>
      <c r="C143" s="46" t="s">
        <v>145</v>
      </c>
      <c r="D143" s="46" t="s">
        <v>146</v>
      </c>
      <c r="E143" s="46" t="s">
        <v>16</v>
      </c>
      <c r="F143" s="46">
        <v>103945</v>
      </c>
      <c r="G143" s="46">
        <v>5827</v>
      </c>
      <c r="H143" s="46">
        <v>1089</v>
      </c>
      <c r="I143" s="46">
        <v>686</v>
      </c>
      <c r="J143" s="46">
        <v>290</v>
      </c>
      <c r="K143" s="46" t="s">
        <v>309</v>
      </c>
      <c r="L143" s="46" t="s">
        <v>310</v>
      </c>
      <c r="M143" s="46" t="s">
        <v>53</v>
      </c>
    </row>
    <row r="144" spans="1:13">
      <c r="A144" s="47">
        <v>45403</v>
      </c>
      <c r="B144" s="46" t="s">
        <v>144</v>
      </c>
      <c r="C144" s="46" t="s">
        <v>145</v>
      </c>
      <c r="D144" s="46" t="s">
        <v>146</v>
      </c>
      <c r="E144" s="46" t="s">
        <v>16</v>
      </c>
      <c r="F144" s="46">
        <v>180309</v>
      </c>
      <c r="G144" s="46">
        <v>13125</v>
      </c>
      <c r="H144" s="46">
        <v>2445</v>
      </c>
      <c r="I144" s="46">
        <v>1328</v>
      </c>
      <c r="J144" s="46">
        <v>595</v>
      </c>
      <c r="K144" s="46" t="s">
        <v>311</v>
      </c>
      <c r="L144" s="46" t="s">
        <v>312</v>
      </c>
      <c r="M144" s="46" t="s">
        <v>53</v>
      </c>
    </row>
    <row r="145" spans="1:13">
      <c r="A145" s="47">
        <v>45404</v>
      </c>
      <c r="B145" s="46" t="s">
        <v>144</v>
      </c>
      <c r="C145" s="46" t="s">
        <v>145</v>
      </c>
      <c r="D145" s="46" t="s">
        <v>146</v>
      </c>
      <c r="E145" s="46" t="s">
        <v>16</v>
      </c>
      <c r="F145" s="46">
        <v>165998</v>
      </c>
      <c r="G145" s="46">
        <v>7203</v>
      </c>
      <c r="H145" s="46">
        <v>1295</v>
      </c>
      <c r="I145" s="46">
        <v>834</v>
      </c>
      <c r="J145" s="46">
        <v>489</v>
      </c>
      <c r="K145" s="46" t="s">
        <v>313</v>
      </c>
      <c r="L145" s="46" t="s">
        <v>314</v>
      </c>
      <c r="M145" s="46" t="s">
        <v>53</v>
      </c>
    </row>
    <row r="146" spans="1:13">
      <c r="A146" s="47">
        <v>45405</v>
      </c>
      <c r="B146" s="46" t="s">
        <v>144</v>
      </c>
      <c r="C146" s="46" t="s">
        <v>145</v>
      </c>
      <c r="D146" s="46" t="s">
        <v>146</v>
      </c>
      <c r="E146" s="46" t="s">
        <v>16</v>
      </c>
      <c r="F146" s="46">
        <v>204547</v>
      </c>
      <c r="G146" s="46">
        <v>9363</v>
      </c>
      <c r="H146" s="46">
        <v>1756</v>
      </c>
      <c r="I146" s="46">
        <v>1126</v>
      </c>
      <c r="J146" s="46">
        <v>509</v>
      </c>
      <c r="K146" s="46" t="s">
        <v>315</v>
      </c>
      <c r="L146" s="46" t="s">
        <v>316</v>
      </c>
      <c r="M146" s="46" t="s">
        <v>46</v>
      </c>
    </row>
    <row r="147" spans="1:13">
      <c r="A147" s="47">
        <v>45406</v>
      </c>
      <c r="B147" s="46" t="s">
        <v>144</v>
      </c>
      <c r="C147" s="46" t="s">
        <v>145</v>
      </c>
      <c r="D147" s="46" t="s">
        <v>146</v>
      </c>
      <c r="E147" s="46" t="s">
        <v>16</v>
      </c>
      <c r="F147" s="46">
        <v>124784</v>
      </c>
      <c r="G147" s="46">
        <v>7174</v>
      </c>
      <c r="H147" s="46">
        <v>1288</v>
      </c>
      <c r="I147" s="46">
        <v>783</v>
      </c>
      <c r="J147" s="46">
        <v>351</v>
      </c>
      <c r="K147" s="46" t="s">
        <v>317</v>
      </c>
      <c r="L147" s="46" t="s">
        <v>318</v>
      </c>
      <c r="M147" s="46" t="s">
        <v>46</v>
      </c>
    </row>
    <row r="148" spans="1:13">
      <c r="A148" s="47">
        <v>45407</v>
      </c>
      <c r="B148" s="46" t="s">
        <v>144</v>
      </c>
      <c r="C148" s="46" t="s">
        <v>145</v>
      </c>
      <c r="D148" s="46" t="s">
        <v>146</v>
      </c>
      <c r="E148" s="46" t="s">
        <v>16</v>
      </c>
      <c r="F148" s="46">
        <v>132967</v>
      </c>
      <c r="G148" s="46">
        <v>10361</v>
      </c>
      <c r="H148" s="46">
        <v>1745</v>
      </c>
      <c r="I148" s="46">
        <v>990</v>
      </c>
      <c r="J148" s="46">
        <v>467</v>
      </c>
      <c r="K148" s="46" t="s">
        <v>319</v>
      </c>
      <c r="L148" s="46" t="s">
        <v>320</v>
      </c>
      <c r="M148" s="46" t="s">
        <v>46</v>
      </c>
    </row>
    <row r="149" spans="1:13">
      <c r="A149" s="47">
        <v>45408</v>
      </c>
      <c r="B149" s="46" t="s">
        <v>144</v>
      </c>
      <c r="C149" s="46" t="s">
        <v>145</v>
      </c>
      <c r="D149" s="46" t="s">
        <v>146</v>
      </c>
      <c r="E149" s="46" t="s">
        <v>16</v>
      </c>
      <c r="F149" s="46">
        <v>260506</v>
      </c>
      <c r="G149" s="46">
        <v>13356</v>
      </c>
      <c r="H149" s="46">
        <v>3163</v>
      </c>
      <c r="I149" s="46">
        <v>1998</v>
      </c>
      <c r="J149" s="46">
        <v>854</v>
      </c>
      <c r="K149" s="46" t="s">
        <v>321</v>
      </c>
      <c r="L149" s="46" t="s">
        <v>322</v>
      </c>
      <c r="M149" s="46" t="s">
        <v>19</v>
      </c>
    </row>
    <row r="150" spans="1:13">
      <c r="A150" s="47">
        <v>45409</v>
      </c>
      <c r="B150" s="46" t="s">
        <v>144</v>
      </c>
      <c r="C150" s="46" t="s">
        <v>145</v>
      </c>
      <c r="D150" s="46" t="s">
        <v>146</v>
      </c>
      <c r="E150" s="46" t="s">
        <v>16</v>
      </c>
      <c r="F150" s="46">
        <v>229208</v>
      </c>
      <c r="G150" s="46">
        <v>9355</v>
      </c>
      <c r="H150" s="46">
        <v>2081</v>
      </c>
      <c r="I150" s="46">
        <v>1043</v>
      </c>
      <c r="J150" s="46">
        <v>469</v>
      </c>
      <c r="K150" s="46" t="s">
        <v>323</v>
      </c>
      <c r="L150" s="46" t="s">
        <v>324</v>
      </c>
      <c r="M150" s="46" t="s">
        <v>46</v>
      </c>
    </row>
    <row r="151" spans="1:13">
      <c r="A151" s="47">
        <v>45410</v>
      </c>
      <c r="B151" s="46" t="s">
        <v>144</v>
      </c>
      <c r="C151" s="46" t="s">
        <v>145</v>
      </c>
      <c r="D151" s="46" t="s">
        <v>146</v>
      </c>
      <c r="E151" s="46" t="s">
        <v>16</v>
      </c>
      <c r="F151" s="46">
        <v>171241</v>
      </c>
      <c r="G151" s="46">
        <v>7348</v>
      </c>
      <c r="H151" s="46">
        <v>1294</v>
      </c>
      <c r="I151" s="46">
        <v>719</v>
      </c>
      <c r="J151" s="46">
        <v>302</v>
      </c>
      <c r="K151" s="46" t="s">
        <v>325</v>
      </c>
      <c r="L151" s="46" t="s">
        <v>326</v>
      </c>
      <c r="M151" s="46" t="s">
        <v>19</v>
      </c>
    </row>
    <row r="152" spans="1:13">
      <c r="A152" s="47">
        <v>45411</v>
      </c>
      <c r="B152" s="46" t="s">
        <v>144</v>
      </c>
      <c r="C152" s="46" t="s">
        <v>145</v>
      </c>
      <c r="D152" s="46" t="s">
        <v>146</v>
      </c>
      <c r="E152" s="46" t="s">
        <v>16</v>
      </c>
      <c r="F152" s="46">
        <v>161956</v>
      </c>
      <c r="G152" s="46">
        <v>10797</v>
      </c>
      <c r="H152" s="46">
        <v>1786</v>
      </c>
      <c r="I152" s="46">
        <v>1036</v>
      </c>
      <c r="J152" s="46">
        <v>542</v>
      </c>
      <c r="K152" s="46" t="s">
        <v>327</v>
      </c>
      <c r="L152" s="46" t="s">
        <v>328</v>
      </c>
      <c r="M152" s="46" t="s">
        <v>35</v>
      </c>
    </row>
    <row r="153" spans="1:13">
      <c r="A153" s="47">
        <v>45412</v>
      </c>
      <c r="B153" s="46" t="s">
        <v>144</v>
      </c>
      <c r="C153" s="46" t="s">
        <v>145</v>
      </c>
      <c r="D153" s="46" t="s">
        <v>146</v>
      </c>
      <c r="E153" s="46" t="s">
        <v>16</v>
      </c>
      <c r="F153" s="46">
        <v>61492</v>
      </c>
      <c r="G153" s="46">
        <v>4436</v>
      </c>
      <c r="H153" s="46">
        <v>909</v>
      </c>
      <c r="I153" s="46">
        <v>457</v>
      </c>
      <c r="J153" s="46">
        <v>244</v>
      </c>
      <c r="K153" s="46" t="s">
        <v>329</v>
      </c>
      <c r="L153" s="46" t="s">
        <v>330</v>
      </c>
      <c r="M153" s="46" t="s">
        <v>19</v>
      </c>
    </row>
    <row r="154" spans="1:13">
      <c r="A154" s="47">
        <v>45413</v>
      </c>
      <c r="B154" s="46" t="s">
        <v>144</v>
      </c>
      <c r="C154" s="46" t="s">
        <v>145</v>
      </c>
      <c r="D154" s="46" t="s">
        <v>146</v>
      </c>
      <c r="E154" s="46" t="s">
        <v>16</v>
      </c>
      <c r="F154" s="46">
        <v>203882</v>
      </c>
      <c r="G154" s="46">
        <v>9925</v>
      </c>
      <c r="H154" s="46">
        <v>2110</v>
      </c>
      <c r="I154" s="46">
        <v>963</v>
      </c>
      <c r="J154" s="46">
        <v>504</v>
      </c>
      <c r="K154" s="46" t="s">
        <v>331</v>
      </c>
      <c r="L154" s="46" t="s">
        <v>332</v>
      </c>
      <c r="M154" s="46" t="s">
        <v>53</v>
      </c>
    </row>
    <row r="155" spans="1:13">
      <c r="A155" s="47">
        <v>45414</v>
      </c>
      <c r="B155" s="46" t="s">
        <v>144</v>
      </c>
      <c r="C155" s="46" t="s">
        <v>145</v>
      </c>
      <c r="D155" s="46" t="s">
        <v>146</v>
      </c>
      <c r="E155" s="46" t="s">
        <v>16</v>
      </c>
      <c r="F155" s="46">
        <v>52572</v>
      </c>
      <c r="G155" s="46">
        <v>2746</v>
      </c>
      <c r="H155" s="46">
        <v>633</v>
      </c>
      <c r="I155" s="46">
        <v>286</v>
      </c>
      <c r="J155" s="46">
        <v>115</v>
      </c>
      <c r="K155" s="46" t="s">
        <v>333</v>
      </c>
      <c r="L155" s="46" t="s">
        <v>334</v>
      </c>
      <c r="M155" s="46" t="s">
        <v>19</v>
      </c>
    </row>
    <row r="156" spans="1:13">
      <c r="A156" s="47">
        <v>45415</v>
      </c>
      <c r="B156" s="46" t="s">
        <v>144</v>
      </c>
      <c r="C156" s="46" t="s">
        <v>145</v>
      </c>
      <c r="D156" s="46" t="s">
        <v>146</v>
      </c>
      <c r="E156" s="46" t="s">
        <v>16</v>
      </c>
      <c r="F156" s="46">
        <v>182398</v>
      </c>
      <c r="G156" s="46">
        <v>9821</v>
      </c>
      <c r="H156" s="46">
        <v>2358</v>
      </c>
      <c r="I156" s="46">
        <v>1144</v>
      </c>
      <c r="J156" s="46">
        <v>659</v>
      </c>
      <c r="K156" s="46" t="s">
        <v>335</v>
      </c>
      <c r="L156" s="46" t="s">
        <v>336</v>
      </c>
      <c r="M156" s="46" t="s">
        <v>46</v>
      </c>
    </row>
    <row r="157" spans="1:13">
      <c r="A157" s="47">
        <v>45416</v>
      </c>
      <c r="B157" s="46" t="s">
        <v>144</v>
      </c>
      <c r="C157" s="46" t="s">
        <v>145</v>
      </c>
      <c r="D157" s="46" t="s">
        <v>146</v>
      </c>
      <c r="E157" s="46" t="s">
        <v>16</v>
      </c>
      <c r="F157" s="46">
        <v>291292</v>
      </c>
      <c r="G157" s="46">
        <v>19445</v>
      </c>
      <c r="H157" s="46">
        <v>3115</v>
      </c>
      <c r="I157" s="46">
        <v>1736</v>
      </c>
      <c r="J157" s="46">
        <v>1028</v>
      </c>
      <c r="K157" s="46" t="s">
        <v>337</v>
      </c>
      <c r="L157" s="46" t="s">
        <v>338</v>
      </c>
      <c r="M157" s="46" t="s">
        <v>53</v>
      </c>
    </row>
    <row r="158" spans="1:13">
      <c r="A158" s="47">
        <v>45417</v>
      </c>
      <c r="B158" s="46" t="s">
        <v>144</v>
      </c>
      <c r="C158" s="46" t="s">
        <v>145</v>
      </c>
      <c r="D158" s="46" t="s">
        <v>146</v>
      </c>
      <c r="E158" s="46" t="s">
        <v>16</v>
      </c>
      <c r="F158" s="46">
        <v>209896</v>
      </c>
      <c r="G158" s="46">
        <v>11020</v>
      </c>
      <c r="H158" s="46">
        <v>2016</v>
      </c>
      <c r="I158" s="46">
        <v>1282</v>
      </c>
      <c r="J158" s="46">
        <v>676</v>
      </c>
      <c r="K158" s="46" t="s">
        <v>339</v>
      </c>
      <c r="L158" s="46" t="s">
        <v>340</v>
      </c>
      <c r="M158" s="46" t="s">
        <v>19</v>
      </c>
    </row>
    <row r="159" spans="1:13">
      <c r="A159" s="47">
        <v>45418</v>
      </c>
      <c r="B159" s="46" t="s">
        <v>144</v>
      </c>
      <c r="C159" s="46" t="s">
        <v>145</v>
      </c>
      <c r="D159" s="46" t="s">
        <v>146</v>
      </c>
      <c r="E159" s="46" t="s">
        <v>16</v>
      </c>
      <c r="F159" s="46">
        <v>212729</v>
      </c>
      <c r="G159" s="46">
        <v>11086</v>
      </c>
      <c r="H159" s="46">
        <v>2540</v>
      </c>
      <c r="I159" s="46">
        <v>1442</v>
      </c>
      <c r="J159" s="46">
        <v>785</v>
      </c>
      <c r="K159" s="46" t="s">
        <v>341</v>
      </c>
      <c r="L159" s="46" t="s">
        <v>342</v>
      </c>
      <c r="M159" s="46" t="s">
        <v>46</v>
      </c>
    </row>
    <row r="160" spans="1:13">
      <c r="A160" s="47">
        <v>45419</v>
      </c>
      <c r="B160" s="46" t="s">
        <v>144</v>
      </c>
      <c r="C160" s="46" t="s">
        <v>145</v>
      </c>
      <c r="D160" s="46" t="s">
        <v>146</v>
      </c>
      <c r="E160" s="46" t="s">
        <v>16</v>
      </c>
      <c r="F160" s="46">
        <v>53575</v>
      </c>
      <c r="G160" s="46">
        <v>1779</v>
      </c>
      <c r="H160" s="46">
        <v>383</v>
      </c>
      <c r="I160" s="46">
        <v>198</v>
      </c>
      <c r="J160" s="46">
        <v>83</v>
      </c>
      <c r="K160" s="46" t="s">
        <v>333</v>
      </c>
      <c r="L160" s="46" t="s">
        <v>343</v>
      </c>
      <c r="M160" s="46" t="s">
        <v>53</v>
      </c>
    </row>
    <row r="161" spans="1:13">
      <c r="A161" s="47">
        <v>45420</v>
      </c>
      <c r="B161" s="46" t="s">
        <v>144</v>
      </c>
      <c r="C161" s="46" t="s">
        <v>145</v>
      </c>
      <c r="D161" s="46" t="s">
        <v>146</v>
      </c>
      <c r="E161" s="46" t="s">
        <v>16</v>
      </c>
      <c r="F161" s="46">
        <v>77717</v>
      </c>
      <c r="G161" s="46">
        <v>5458</v>
      </c>
      <c r="H161" s="46">
        <v>1240</v>
      </c>
      <c r="I161" s="46">
        <v>600</v>
      </c>
      <c r="J161" s="46">
        <v>252</v>
      </c>
      <c r="K161" s="46" t="s">
        <v>344</v>
      </c>
      <c r="L161" s="46" t="s">
        <v>345</v>
      </c>
      <c r="M161" s="46" t="s">
        <v>22</v>
      </c>
    </row>
    <row r="162" spans="1:13">
      <c r="A162" s="47">
        <v>45421</v>
      </c>
      <c r="B162" s="46" t="s">
        <v>144</v>
      </c>
      <c r="C162" s="46" t="s">
        <v>145</v>
      </c>
      <c r="D162" s="46" t="s">
        <v>146</v>
      </c>
      <c r="E162" s="46" t="s">
        <v>16</v>
      </c>
      <c r="F162" s="46">
        <v>254812</v>
      </c>
      <c r="G162" s="46">
        <v>8231</v>
      </c>
      <c r="H162" s="46">
        <v>1789</v>
      </c>
      <c r="I162" s="46">
        <v>905</v>
      </c>
      <c r="J162" s="46">
        <v>508</v>
      </c>
      <c r="K162" s="46" t="s">
        <v>346</v>
      </c>
      <c r="L162" s="46" t="s">
        <v>347</v>
      </c>
      <c r="M162" s="46" t="s">
        <v>46</v>
      </c>
    </row>
    <row r="163" spans="1:13">
      <c r="A163" s="47">
        <v>45422</v>
      </c>
      <c r="B163" s="46" t="s">
        <v>144</v>
      </c>
      <c r="C163" s="46" t="s">
        <v>145</v>
      </c>
      <c r="D163" s="46" t="s">
        <v>146</v>
      </c>
      <c r="E163" s="46" t="s">
        <v>16</v>
      </c>
      <c r="F163" s="46">
        <v>159338</v>
      </c>
      <c r="G163" s="46">
        <v>8621</v>
      </c>
      <c r="H163" s="46">
        <v>1987</v>
      </c>
      <c r="I163" s="46">
        <v>1010</v>
      </c>
      <c r="J163" s="46">
        <v>560</v>
      </c>
      <c r="K163" s="46" t="s">
        <v>348</v>
      </c>
      <c r="L163" s="46" t="s">
        <v>349</v>
      </c>
      <c r="M163" s="46" t="s">
        <v>46</v>
      </c>
    </row>
    <row r="164" spans="1:13">
      <c r="A164" s="47">
        <v>45423</v>
      </c>
      <c r="B164" s="46" t="s">
        <v>144</v>
      </c>
      <c r="C164" s="46" t="s">
        <v>145</v>
      </c>
      <c r="D164" s="46" t="s">
        <v>146</v>
      </c>
      <c r="E164" s="46" t="s">
        <v>16</v>
      </c>
      <c r="F164" s="46">
        <v>107691</v>
      </c>
      <c r="G164" s="46">
        <v>5395</v>
      </c>
      <c r="H164" s="46">
        <v>912</v>
      </c>
      <c r="I164" s="46">
        <v>434</v>
      </c>
      <c r="J164" s="46">
        <v>235</v>
      </c>
      <c r="K164" s="46" t="s">
        <v>350</v>
      </c>
      <c r="L164" s="46" t="s">
        <v>351</v>
      </c>
      <c r="M164" s="46" t="s">
        <v>22</v>
      </c>
    </row>
    <row r="165" spans="1:13">
      <c r="A165" s="47">
        <v>45424</v>
      </c>
      <c r="B165" s="46" t="s">
        <v>144</v>
      </c>
      <c r="C165" s="46" t="s">
        <v>145</v>
      </c>
      <c r="D165" s="46" t="s">
        <v>146</v>
      </c>
      <c r="E165" s="46" t="s">
        <v>16</v>
      </c>
      <c r="F165" s="46">
        <v>150217</v>
      </c>
      <c r="G165" s="46">
        <v>9087</v>
      </c>
      <c r="H165" s="46">
        <v>1717</v>
      </c>
      <c r="I165" s="46">
        <v>921</v>
      </c>
      <c r="J165" s="46">
        <v>420</v>
      </c>
      <c r="K165" s="46" t="s">
        <v>352</v>
      </c>
      <c r="L165" s="46" t="s">
        <v>353</v>
      </c>
      <c r="M165" s="46" t="s">
        <v>22</v>
      </c>
    </row>
    <row r="166" spans="1:13">
      <c r="A166" s="47">
        <v>45425</v>
      </c>
      <c r="B166" s="46" t="s">
        <v>144</v>
      </c>
      <c r="C166" s="46" t="s">
        <v>145</v>
      </c>
      <c r="D166" s="46" t="s">
        <v>146</v>
      </c>
      <c r="E166" s="46" t="s">
        <v>16</v>
      </c>
      <c r="F166" s="46">
        <v>227093</v>
      </c>
      <c r="G166" s="46">
        <v>11820</v>
      </c>
      <c r="H166" s="46">
        <v>2504</v>
      </c>
      <c r="I166" s="46">
        <v>1225</v>
      </c>
      <c r="J166" s="46">
        <v>522</v>
      </c>
      <c r="K166" s="46" t="s">
        <v>354</v>
      </c>
      <c r="L166" s="46" t="s">
        <v>355</v>
      </c>
      <c r="M166" s="46" t="s">
        <v>22</v>
      </c>
    </row>
    <row r="167" spans="1:13">
      <c r="A167" s="47">
        <v>45426</v>
      </c>
      <c r="B167" s="46" t="s">
        <v>144</v>
      </c>
      <c r="C167" s="46" t="s">
        <v>145</v>
      </c>
      <c r="D167" s="46" t="s">
        <v>146</v>
      </c>
      <c r="E167" s="46" t="s">
        <v>16</v>
      </c>
      <c r="F167" s="46">
        <v>212823</v>
      </c>
      <c r="G167" s="46">
        <v>12602</v>
      </c>
      <c r="H167" s="46">
        <v>1904</v>
      </c>
      <c r="I167" s="46">
        <v>1005</v>
      </c>
      <c r="J167" s="46">
        <v>425</v>
      </c>
      <c r="K167" s="46" t="s">
        <v>356</v>
      </c>
      <c r="L167" s="46" t="s">
        <v>357</v>
      </c>
      <c r="M167" s="46" t="s">
        <v>19</v>
      </c>
    </row>
    <row r="168" spans="1:13">
      <c r="A168" s="47">
        <v>45427</v>
      </c>
      <c r="B168" s="46" t="s">
        <v>144</v>
      </c>
      <c r="C168" s="46" t="s">
        <v>145</v>
      </c>
      <c r="D168" s="46" t="s">
        <v>146</v>
      </c>
      <c r="E168" s="46" t="s">
        <v>16</v>
      </c>
      <c r="F168" s="46">
        <v>129087</v>
      </c>
      <c r="G168" s="46">
        <v>4033</v>
      </c>
      <c r="H168" s="46">
        <v>640</v>
      </c>
      <c r="I168" s="46">
        <v>346</v>
      </c>
      <c r="J168" s="46">
        <v>198</v>
      </c>
      <c r="K168" s="46" t="s">
        <v>358</v>
      </c>
      <c r="L168" s="46" t="s">
        <v>359</v>
      </c>
      <c r="M168" s="46" t="s">
        <v>19</v>
      </c>
    </row>
    <row r="169" spans="1:13">
      <c r="A169" s="47">
        <v>45428</v>
      </c>
      <c r="B169" s="46" t="s">
        <v>144</v>
      </c>
      <c r="C169" s="46" t="s">
        <v>145</v>
      </c>
      <c r="D169" s="46" t="s">
        <v>146</v>
      </c>
      <c r="E169" s="46" t="s">
        <v>16</v>
      </c>
      <c r="F169" s="46">
        <v>95904</v>
      </c>
      <c r="G169" s="46">
        <v>4183</v>
      </c>
      <c r="H169" s="46">
        <v>667</v>
      </c>
      <c r="I169" s="46">
        <v>322</v>
      </c>
      <c r="J169" s="46">
        <v>147</v>
      </c>
      <c r="K169" s="46" t="s">
        <v>360</v>
      </c>
      <c r="L169" s="46" t="s">
        <v>361</v>
      </c>
      <c r="M169" s="46" t="s">
        <v>22</v>
      </c>
    </row>
    <row r="170" spans="1:13">
      <c r="A170" s="47">
        <v>45429</v>
      </c>
      <c r="B170" s="46" t="s">
        <v>144</v>
      </c>
      <c r="C170" s="46" t="s">
        <v>145</v>
      </c>
      <c r="D170" s="46" t="s">
        <v>146</v>
      </c>
      <c r="E170" s="46" t="s">
        <v>16</v>
      </c>
      <c r="F170" s="46">
        <v>135876</v>
      </c>
      <c r="G170" s="46">
        <v>8214</v>
      </c>
      <c r="H170" s="46">
        <v>1729</v>
      </c>
      <c r="I170" s="46">
        <v>909</v>
      </c>
      <c r="J170" s="46">
        <v>441</v>
      </c>
      <c r="K170" s="46" t="s">
        <v>362</v>
      </c>
      <c r="L170" s="46" t="s">
        <v>363</v>
      </c>
      <c r="M170" s="46" t="s">
        <v>46</v>
      </c>
    </row>
    <row r="171" spans="1:13">
      <c r="A171" s="47">
        <v>45430</v>
      </c>
      <c r="B171" s="46" t="s">
        <v>144</v>
      </c>
      <c r="C171" s="46" t="s">
        <v>145</v>
      </c>
      <c r="D171" s="46" t="s">
        <v>146</v>
      </c>
      <c r="E171" s="46" t="s">
        <v>16</v>
      </c>
      <c r="F171" s="46">
        <v>280625</v>
      </c>
      <c r="G171" s="46">
        <v>14687</v>
      </c>
      <c r="H171" s="46">
        <v>2934</v>
      </c>
      <c r="I171" s="46">
        <v>1372</v>
      </c>
      <c r="J171" s="46">
        <v>655</v>
      </c>
      <c r="K171" s="46" t="s">
        <v>364</v>
      </c>
      <c r="L171" s="46" t="s">
        <v>365</v>
      </c>
      <c r="M171" s="46" t="s">
        <v>46</v>
      </c>
    </row>
    <row r="172" spans="1:13">
      <c r="A172" s="47">
        <v>45431</v>
      </c>
      <c r="B172" s="46" t="s">
        <v>144</v>
      </c>
      <c r="C172" s="46" t="s">
        <v>145</v>
      </c>
      <c r="D172" s="46" t="s">
        <v>146</v>
      </c>
      <c r="E172" s="46" t="s">
        <v>16</v>
      </c>
      <c r="F172" s="46">
        <v>99328</v>
      </c>
      <c r="G172" s="46">
        <v>5165</v>
      </c>
      <c r="H172" s="46">
        <v>1149</v>
      </c>
      <c r="I172" s="46">
        <v>717</v>
      </c>
      <c r="J172" s="46">
        <v>314</v>
      </c>
      <c r="K172" s="46" t="s">
        <v>366</v>
      </c>
      <c r="L172" s="46" t="s">
        <v>367</v>
      </c>
      <c r="M172" s="46" t="s">
        <v>46</v>
      </c>
    </row>
    <row r="173" spans="1:13">
      <c r="A173" s="47">
        <v>45432</v>
      </c>
      <c r="B173" s="46" t="s">
        <v>144</v>
      </c>
      <c r="C173" s="46" t="s">
        <v>145</v>
      </c>
      <c r="D173" s="46" t="s">
        <v>146</v>
      </c>
      <c r="E173" s="46" t="s">
        <v>16</v>
      </c>
      <c r="F173" s="46">
        <v>144094</v>
      </c>
      <c r="G173" s="46">
        <v>11075</v>
      </c>
      <c r="H173" s="46">
        <v>2057</v>
      </c>
      <c r="I173" s="46">
        <v>1117</v>
      </c>
      <c r="J173" s="46">
        <v>577</v>
      </c>
      <c r="K173" s="46" t="s">
        <v>368</v>
      </c>
      <c r="L173" s="46" t="s">
        <v>369</v>
      </c>
      <c r="M173" s="46" t="s">
        <v>22</v>
      </c>
    </row>
    <row r="174" spans="1:13">
      <c r="A174" s="47">
        <v>45433</v>
      </c>
      <c r="B174" s="46" t="s">
        <v>144</v>
      </c>
      <c r="C174" s="46" t="s">
        <v>145</v>
      </c>
      <c r="D174" s="46" t="s">
        <v>146</v>
      </c>
      <c r="E174" s="46" t="s">
        <v>16</v>
      </c>
      <c r="F174" s="46">
        <v>257103</v>
      </c>
      <c r="G174" s="46">
        <v>13993</v>
      </c>
      <c r="H174" s="46">
        <v>3038</v>
      </c>
      <c r="I174" s="46">
        <v>1674</v>
      </c>
      <c r="J174" s="46">
        <v>939</v>
      </c>
      <c r="K174" s="46" t="s">
        <v>370</v>
      </c>
      <c r="L174" s="46" t="s">
        <v>371</v>
      </c>
      <c r="M174" s="46" t="s">
        <v>53</v>
      </c>
    </row>
    <row r="175" spans="1:13">
      <c r="A175" s="47">
        <v>45434</v>
      </c>
      <c r="B175" s="46" t="s">
        <v>144</v>
      </c>
      <c r="C175" s="46" t="s">
        <v>145</v>
      </c>
      <c r="D175" s="46" t="s">
        <v>146</v>
      </c>
      <c r="E175" s="46" t="s">
        <v>16</v>
      </c>
      <c r="F175" s="46">
        <v>209828</v>
      </c>
      <c r="G175" s="46">
        <v>14119</v>
      </c>
      <c r="H175" s="46">
        <v>2701</v>
      </c>
      <c r="I175" s="46">
        <v>1585</v>
      </c>
      <c r="J175" s="46">
        <v>667</v>
      </c>
      <c r="K175" s="46" t="s">
        <v>372</v>
      </c>
      <c r="L175" s="46" t="s">
        <v>373</v>
      </c>
      <c r="M175" s="46" t="s">
        <v>22</v>
      </c>
    </row>
    <row r="176" spans="1:13">
      <c r="A176" s="47">
        <v>45435</v>
      </c>
      <c r="B176" s="46" t="s">
        <v>144</v>
      </c>
      <c r="C176" s="46" t="s">
        <v>145</v>
      </c>
      <c r="D176" s="46" t="s">
        <v>146</v>
      </c>
      <c r="E176" s="46" t="s">
        <v>16</v>
      </c>
      <c r="F176" s="46">
        <v>218859</v>
      </c>
      <c r="G176" s="46">
        <v>11905</v>
      </c>
      <c r="H176" s="46">
        <v>1854</v>
      </c>
      <c r="I176" s="46">
        <v>941</v>
      </c>
      <c r="J176" s="46">
        <v>482</v>
      </c>
      <c r="K176" s="46" t="s">
        <v>374</v>
      </c>
      <c r="L176" s="46" t="s">
        <v>375</v>
      </c>
      <c r="M176" s="46" t="s">
        <v>35</v>
      </c>
    </row>
    <row r="177" spans="1:13">
      <c r="A177" s="47">
        <v>45436</v>
      </c>
      <c r="B177" s="46" t="s">
        <v>144</v>
      </c>
      <c r="C177" s="46" t="s">
        <v>145</v>
      </c>
      <c r="D177" s="46" t="s">
        <v>146</v>
      </c>
      <c r="E177" s="46" t="s">
        <v>16</v>
      </c>
      <c r="F177" s="46">
        <v>210510</v>
      </c>
      <c r="G177" s="46">
        <v>12742</v>
      </c>
      <c r="H177" s="46">
        <v>2399</v>
      </c>
      <c r="I177" s="46">
        <v>1408</v>
      </c>
      <c r="J177" s="46">
        <v>810</v>
      </c>
      <c r="K177" s="46" t="s">
        <v>376</v>
      </c>
      <c r="L177" s="46" t="s">
        <v>377</v>
      </c>
      <c r="M177" s="46" t="s">
        <v>19</v>
      </c>
    </row>
    <row r="178" spans="1:13">
      <c r="A178" s="47">
        <v>45437</v>
      </c>
      <c r="B178" s="46" t="s">
        <v>144</v>
      </c>
      <c r="C178" s="46" t="s">
        <v>145</v>
      </c>
      <c r="D178" s="46" t="s">
        <v>146</v>
      </c>
      <c r="E178" s="46" t="s">
        <v>16</v>
      </c>
      <c r="F178" s="46">
        <v>112134</v>
      </c>
      <c r="G178" s="46">
        <v>3488</v>
      </c>
      <c r="H178" s="46">
        <v>542</v>
      </c>
      <c r="I178" s="46">
        <v>286</v>
      </c>
      <c r="J178" s="46">
        <v>159</v>
      </c>
      <c r="K178" s="46" t="s">
        <v>378</v>
      </c>
      <c r="L178" s="46" t="s">
        <v>379</v>
      </c>
      <c r="M178" s="46" t="s">
        <v>22</v>
      </c>
    </row>
    <row r="179" spans="1:13">
      <c r="A179" s="47">
        <v>45438</v>
      </c>
      <c r="B179" s="46" t="s">
        <v>144</v>
      </c>
      <c r="C179" s="46" t="s">
        <v>145</v>
      </c>
      <c r="D179" s="46" t="s">
        <v>146</v>
      </c>
      <c r="E179" s="46" t="s">
        <v>16</v>
      </c>
      <c r="F179" s="46">
        <v>167323</v>
      </c>
      <c r="G179" s="46">
        <v>6870</v>
      </c>
      <c r="H179" s="46">
        <v>1386</v>
      </c>
      <c r="I179" s="46">
        <v>656</v>
      </c>
      <c r="J179" s="46">
        <v>339</v>
      </c>
      <c r="K179" s="46" t="s">
        <v>380</v>
      </c>
      <c r="L179" s="46" t="s">
        <v>381</v>
      </c>
      <c r="M179" s="46" t="s">
        <v>19</v>
      </c>
    </row>
    <row r="180" spans="1:13">
      <c r="A180" s="47">
        <v>45439</v>
      </c>
      <c r="B180" s="46" t="s">
        <v>144</v>
      </c>
      <c r="C180" s="46" t="s">
        <v>145</v>
      </c>
      <c r="D180" s="46" t="s">
        <v>146</v>
      </c>
      <c r="E180" s="46" t="s">
        <v>16</v>
      </c>
      <c r="F180" s="46">
        <v>71573</v>
      </c>
      <c r="G180" s="46">
        <v>3385</v>
      </c>
      <c r="H180" s="46">
        <v>572</v>
      </c>
      <c r="I180" s="46">
        <v>368</v>
      </c>
      <c r="J180" s="46">
        <v>169</v>
      </c>
      <c r="K180" s="46" t="s">
        <v>382</v>
      </c>
      <c r="L180" s="46" t="s">
        <v>383</v>
      </c>
      <c r="M180" s="46" t="s">
        <v>53</v>
      </c>
    </row>
    <row r="181" spans="1:13">
      <c r="A181" s="47">
        <v>45440</v>
      </c>
      <c r="B181" s="46" t="s">
        <v>144</v>
      </c>
      <c r="C181" s="46" t="s">
        <v>145</v>
      </c>
      <c r="D181" s="46" t="s">
        <v>146</v>
      </c>
      <c r="E181" s="46" t="s">
        <v>16</v>
      </c>
      <c r="F181" s="46">
        <v>157823</v>
      </c>
      <c r="G181" s="46">
        <v>9513</v>
      </c>
      <c r="H181" s="46">
        <v>2121</v>
      </c>
      <c r="I181" s="46">
        <v>1051</v>
      </c>
      <c r="J181" s="46">
        <v>506</v>
      </c>
      <c r="K181" s="46" t="s">
        <v>384</v>
      </c>
      <c r="L181" s="46" t="s">
        <v>385</v>
      </c>
      <c r="M181" s="46" t="s">
        <v>53</v>
      </c>
    </row>
    <row r="182" spans="1:13">
      <c r="A182" s="47">
        <v>45441</v>
      </c>
      <c r="B182" s="46" t="s">
        <v>144</v>
      </c>
      <c r="C182" s="46" t="s">
        <v>145</v>
      </c>
      <c r="D182" s="46" t="s">
        <v>146</v>
      </c>
      <c r="E182" s="46" t="s">
        <v>16</v>
      </c>
      <c r="F182" s="46">
        <v>170857</v>
      </c>
      <c r="G182" s="46">
        <v>13220</v>
      </c>
      <c r="H182" s="46">
        <v>2821</v>
      </c>
      <c r="I182" s="46">
        <v>1398</v>
      </c>
      <c r="J182" s="46">
        <v>619</v>
      </c>
      <c r="K182" s="46" t="s">
        <v>386</v>
      </c>
      <c r="L182" s="46" t="s">
        <v>387</v>
      </c>
      <c r="M182" s="46" t="s">
        <v>22</v>
      </c>
    </row>
    <row r="183" spans="1:13">
      <c r="A183" s="47">
        <v>45442</v>
      </c>
      <c r="B183" s="46" t="s">
        <v>144</v>
      </c>
      <c r="C183" s="46" t="s">
        <v>145</v>
      </c>
      <c r="D183" s="46" t="s">
        <v>146</v>
      </c>
      <c r="E183" s="46" t="s">
        <v>16</v>
      </c>
      <c r="F183" s="46">
        <v>286098</v>
      </c>
      <c r="G183" s="46">
        <v>8605</v>
      </c>
      <c r="H183" s="46">
        <v>1496</v>
      </c>
      <c r="I183" s="46">
        <v>757</v>
      </c>
      <c r="J183" s="46">
        <v>307</v>
      </c>
      <c r="K183" s="46" t="s">
        <v>388</v>
      </c>
      <c r="L183" s="46" t="s">
        <v>389</v>
      </c>
      <c r="M183" s="46" t="s">
        <v>22</v>
      </c>
    </row>
    <row r="184" spans="1:13">
      <c r="A184" s="47">
        <v>45443</v>
      </c>
      <c r="B184" s="46" t="s">
        <v>144</v>
      </c>
      <c r="C184" s="46" t="s">
        <v>145</v>
      </c>
      <c r="D184" s="46" t="s">
        <v>146</v>
      </c>
      <c r="E184" s="46" t="s">
        <v>16</v>
      </c>
      <c r="F184" s="46">
        <v>179655</v>
      </c>
      <c r="G184" s="46">
        <v>7512</v>
      </c>
      <c r="H184" s="46">
        <v>1329</v>
      </c>
      <c r="I184" s="46">
        <v>827</v>
      </c>
      <c r="J184" s="46">
        <v>420</v>
      </c>
      <c r="K184" s="46" t="s">
        <v>390</v>
      </c>
      <c r="L184" s="46" t="s">
        <v>391</v>
      </c>
      <c r="M184" s="46" t="s">
        <v>53</v>
      </c>
    </row>
    <row r="185" spans="1:13">
      <c r="A185" s="47">
        <v>45444</v>
      </c>
      <c r="B185" s="46" t="s">
        <v>144</v>
      </c>
      <c r="C185" s="46" t="s">
        <v>145</v>
      </c>
      <c r="D185" s="46" t="s">
        <v>146</v>
      </c>
      <c r="E185" s="46" t="s">
        <v>16</v>
      </c>
      <c r="F185" s="46">
        <v>200920</v>
      </c>
      <c r="G185" s="46">
        <v>10462</v>
      </c>
      <c r="H185" s="46">
        <v>2244</v>
      </c>
      <c r="I185" s="46">
        <v>1338</v>
      </c>
      <c r="J185" s="46">
        <v>750</v>
      </c>
      <c r="K185" s="46" t="s">
        <v>392</v>
      </c>
      <c r="L185" s="46" t="s">
        <v>393</v>
      </c>
      <c r="M185" s="46" t="s">
        <v>19</v>
      </c>
    </row>
    <row r="186" spans="1:13">
      <c r="A186" s="47">
        <v>45445</v>
      </c>
      <c r="B186" s="46" t="s">
        <v>144</v>
      </c>
      <c r="C186" s="46" t="s">
        <v>145</v>
      </c>
      <c r="D186" s="46" t="s">
        <v>146</v>
      </c>
      <c r="E186" s="46" t="s">
        <v>16</v>
      </c>
      <c r="F186" s="46">
        <v>277733</v>
      </c>
      <c r="G186" s="46">
        <v>19722</v>
      </c>
      <c r="H186" s="46">
        <v>3356</v>
      </c>
      <c r="I186" s="46">
        <v>1999</v>
      </c>
      <c r="J186" s="46">
        <v>1087</v>
      </c>
      <c r="K186" s="46" t="s">
        <v>394</v>
      </c>
      <c r="L186" s="46" t="s">
        <v>395</v>
      </c>
      <c r="M186" s="46" t="s">
        <v>35</v>
      </c>
    </row>
    <row r="187" spans="1:13">
      <c r="A187" s="47">
        <v>45446</v>
      </c>
      <c r="B187" s="46" t="s">
        <v>144</v>
      </c>
      <c r="C187" s="46" t="s">
        <v>145</v>
      </c>
      <c r="D187" s="46" t="s">
        <v>146</v>
      </c>
      <c r="E187" s="46" t="s">
        <v>16</v>
      </c>
      <c r="F187" s="46">
        <v>163525</v>
      </c>
      <c r="G187" s="46">
        <v>6314</v>
      </c>
      <c r="H187" s="46">
        <v>1573</v>
      </c>
      <c r="I187" s="46">
        <v>794</v>
      </c>
      <c r="J187" s="46">
        <v>445</v>
      </c>
      <c r="K187" s="46" t="s">
        <v>396</v>
      </c>
      <c r="L187" s="46" t="s">
        <v>397</v>
      </c>
      <c r="M187" s="46" t="s">
        <v>35</v>
      </c>
    </row>
    <row r="188" spans="1:13">
      <c r="A188" s="47">
        <v>45447</v>
      </c>
      <c r="B188" s="46" t="s">
        <v>144</v>
      </c>
      <c r="C188" s="46" t="s">
        <v>145</v>
      </c>
      <c r="D188" s="46" t="s">
        <v>146</v>
      </c>
      <c r="E188" s="46" t="s">
        <v>16</v>
      </c>
      <c r="F188" s="46">
        <v>57200</v>
      </c>
      <c r="G188" s="46">
        <v>2876</v>
      </c>
      <c r="H188" s="46">
        <v>542</v>
      </c>
      <c r="I188" s="46">
        <v>295</v>
      </c>
      <c r="J188" s="46">
        <v>144</v>
      </c>
      <c r="K188" s="46" t="s">
        <v>398</v>
      </c>
      <c r="L188" s="46" t="s">
        <v>399</v>
      </c>
      <c r="M188" s="46" t="s">
        <v>22</v>
      </c>
    </row>
    <row r="189" spans="1:13">
      <c r="A189" s="47">
        <v>45448</v>
      </c>
      <c r="B189" s="46" t="s">
        <v>144</v>
      </c>
      <c r="C189" s="46" t="s">
        <v>145</v>
      </c>
      <c r="D189" s="46" t="s">
        <v>146</v>
      </c>
      <c r="E189" s="46" t="s">
        <v>16</v>
      </c>
      <c r="F189" s="46">
        <v>138496</v>
      </c>
      <c r="G189" s="46">
        <v>6165</v>
      </c>
      <c r="H189" s="46">
        <v>1152</v>
      </c>
      <c r="I189" s="46">
        <v>534</v>
      </c>
      <c r="J189" s="46">
        <v>238</v>
      </c>
      <c r="K189" s="46" t="s">
        <v>400</v>
      </c>
      <c r="L189" s="46" t="s">
        <v>401</v>
      </c>
      <c r="M189" s="46" t="s">
        <v>19</v>
      </c>
    </row>
    <row r="190" spans="1:13">
      <c r="A190" s="47">
        <v>45449</v>
      </c>
      <c r="B190" s="46" t="s">
        <v>144</v>
      </c>
      <c r="C190" s="46" t="s">
        <v>145</v>
      </c>
      <c r="D190" s="46" t="s">
        <v>146</v>
      </c>
      <c r="E190" s="46" t="s">
        <v>16</v>
      </c>
      <c r="F190" s="46">
        <v>173098</v>
      </c>
      <c r="G190" s="46">
        <v>12987</v>
      </c>
      <c r="H190" s="46">
        <v>2605</v>
      </c>
      <c r="I190" s="46">
        <v>1205</v>
      </c>
      <c r="J190" s="46">
        <v>678</v>
      </c>
      <c r="K190" s="46" t="s">
        <v>402</v>
      </c>
      <c r="L190" s="46" t="s">
        <v>403</v>
      </c>
      <c r="M190" s="46" t="s">
        <v>35</v>
      </c>
    </row>
    <row r="191" spans="1:13">
      <c r="A191" s="47">
        <v>45450</v>
      </c>
      <c r="B191" s="46" t="s">
        <v>144</v>
      </c>
      <c r="C191" s="46" t="s">
        <v>145</v>
      </c>
      <c r="D191" s="46" t="s">
        <v>146</v>
      </c>
      <c r="E191" s="46" t="s">
        <v>16</v>
      </c>
      <c r="F191" s="46">
        <v>132867</v>
      </c>
      <c r="G191" s="46">
        <v>6166</v>
      </c>
      <c r="H191" s="46">
        <v>1353</v>
      </c>
      <c r="I191" s="46">
        <v>871</v>
      </c>
      <c r="J191" s="46">
        <v>423</v>
      </c>
      <c r="K191" s="46" t="s">
        <v>404</v>
      </c>
      <c r="L191" s="46" t="s">
        <v>405</v>
      </c>
      <c r="M191" s="46" t="s">
        <v>22</v>
      </c>
    </row>
    <row r="192" spans="1:13">
      <c r="A192" s="47">
        <v>45451</v>
      </c>
      <c r="B192" s="46" t="s">
        <v>144</v>
      </c>
      <c r="C192" s="46" t="s">
        <v>145</v>
      </c>
      <c r="D192" s="46" t="s">
        <v>146</v>
      </c>
      <c r="E192" s="46" t="s">
        <v>16</v>
      </c>
      <c r="F192" s="46">
        <v>78405</v>
      </c>
      <c r="G192" s="46">
        <v>5902</v>
      </c>
      <c r="H192" s="46">
        <v>1106</v>
      </c>
      <c r="I192" s="46">
        <v>584</v>
      </c>
      <c r="J192" s="46">
        <v>309</v>
      </c>
      <c r="K192" s="46" t="s">
        <v>406</v>
      </c>
      <c r="L192" s="46" t="s">
        <v>407</v>
      </c>
      <c r="M192" s="46" t="s">
        <v>46</v>
      </c>
    </row>
    <row r="193" spans="1:13">
      <c r="A193" s="47">
        <v>45452</v>
      </c>
      <c r="B193" s="46" t="s">
        <v>144</v>
      </c>
      <c r="C193" s="46" t="s">
        <v>145</v>
      </c>
      <c r="D193" s="46" t="s">
        <v>146</v>
      </c>
      <c r="E193" s="46" t="s">
        <v>16</v>
      </c>
      <c r="F193" s="46">
        <v>123612</v>
      </c>
      <c r="G193" s="46">
        <v>8089</v>
      </c>
      <c r="H193" s="46">
        <v>1527</v>
      </c>
      <c r="I193" s="46">
        <v>775</v>
      </c>
      <c r="J193" s="46">
        <v>424</v>
      </c>
      <c r="K193" s="46" t="s">
        <v>408</v>
      </c>
      <c r="L193" s="46" t="s">
        <v>409</v>
      </c>
      <c r="M193" s="46" t="s">
        <v>46</v>
      </c>
    </row>
    <row r="194" spans="1:13">
      <c r="A194" s="47">
        <v>45453</v>
      </c>
      <c r="B194" s="46" t="s">
        <v>144</v>
      </c>
      <c r="C194" s="46" t="s">
        <v>145</v>
      </c>
      <c r="D194" s="46" t="s">
        <v>146</v>
      </c>
      <c r="E194" s="46" t="s">
        <v>16</v>
      </c>
      <c r="F194" s="46">
        <v>195933</v>
      </c>
      <c r="G194" s="46">
        <v>8997</v>
      </c>
      <c r="H194" s="46">
        <v>1665</v>
      </c>
      <c r="I194" s="46">
        <v>915</v>
      </c>
      <c r="J194" s="46">
        <v>447</v>
      </c>
      <c r="K194" s="46" t="s">
        <v>410</v>
      </c>
      <c r="L194" s="46" t="s">
        <v>411</v>
      </c>
      <c r="M194" s="46" t="s">
        <v>22</v>
      </c>
    </row>
    <row r="195" spans="1:13">
      <c r="A195" s="47">
        <v>45454</v>
      </c>
      <c r="B195" s="46" t="s">
        <v>144</v>
      </c>
      <c r="C195" s="46" t="s">
        <v>145</v>
      </c>
      <c r="D195" s="46" t="s">
        <v>146</v>
      </c>
      <c r="E195" s="46" t="s">
        <v>16</v>
      </c>
      <c r="F195" s="46">
        <v>107645</v>
      </c>
      <c r="G195" s="46">
        <v>6490</v>
      </c>
      <c r="H195" s="46">
        <v>1396</v>
      </c>
      <c r="I195" s="46">
        <v>669</v>
      </c>
      <c r="J195" s="46">
        <v>394</v>
      </c>
      <c r="K195" s="46" t="s">
        <v>412</v>
      </c>
      <c r="L195" s="46" t="s">
        <v>413</v>
      </c>
      <c r="M195" s="46" t="s">
        <v>53</v>
      </c>
    </row>
    <row r="196" spans="1:13">
      <c r="A196" s="47">
        <v>45455</v>
      </c>
      <c r="B196" s="46" t="s">
        <v>144</v>
      </c>
      <c r="C196" s="46" t="s">
        <v>145</v>
      </c>
      <c r="D196" s="46" t="s">
        <v>146</v>
      </c>
      <c r="E196" s="46" t="s">
        <v>16</v>
      </c>
      <c r="F196" s="46">
        <v>126990</v>
      </c>
      <c r="G196" s="46">
        <v>3967</v>
      </c>
      <c r="H196" s="46">
        <v>640</v>
      </c>
      <c r="I196" s="46">
        <v>342</v>
      </c>
      <c r="J196" s="46">
        <v>195</v>
      </c>
      <c r="K196" s="46" t="s">
        <v>414</v>
      </c>
      <c r="L196" s="46" t="s">
        <v>415</v>
      </c>
      <c r="M196" s="46" t="s">
        <v>53</v>
      </c>
    </row>
    <row r="197" spans="1:13">
      <c r="A197" s="47">
        <v>45456</v>
      </c>
      <c r="B197" s="46" t="s">
        <v>144</v>
      </c>
      <c r="C197" s="46" t="s">
        <v>145</v>
      </c>
      <c r="D197" s="46" t="s">
        <v>146</v>
      </c>
      <c r="E197" s="46" t="s">
        <v>16</v>
      </c>
      <c r="F197" s="46">
        <v>173173</v>
      </c>
      <c r="G197" s="46">
        <v>6384</v>
      </c>
      <c r="H197" s="46">
        <v>1547</v>
      </c>
      <c r="I197" s="46">
        <v>788</v>
      </c>
      <c r="J197" s="46">
        <v>399</v>
      </c>
      <c r="K197" s="46" t="s">
        <v>416</v>
      </c>
      <c r="L197" s="46" t="s">
        <v>417</v>
      </c>
      <c r="M197" s="46" t="s">
        <v>35</v>
      </c>
    </row>
    <row r="198" spans="1:13">
      <c r="A198" s="47">
        <v>45457</v>
      </c>
      <c r="B198" s="46" t="s">
        <v>144</v>
      </c>
      <c r="C198" s="46" t="s">
        <v>145</v>
      </c>
      <c r="D198" s="46" t="s">
        <v>146</v>
      </c>
      <c r="E198" s="46" t="s">
        <v>16</v>
      </c>
      <c r="F198" s="46">
        <v>267033</v>
      </c>
      <c r="G198" s="46">
        <v>20262</v>
      </c>
      <c r="H198" s="46">
        <v>3713</v>
      </c>
      <c r="I198" s="46">
        <v>2404</v>
      </c>
      <c r="J198" s="46">
        <v>1299</v>
      </c>
      <c r="K198" s="46" t="s">
        <v>418</v>
      </c>
      <c r="L198" s="46" t="s">
        <v>419</v>
      </c>
      <c r="M198" s="46" t="s">
        <v>46</v>
      </c>
    </row>
    <row r="199" spans="1:13">
      <c r="A199" s="47">
        <v>45458</v>
      </c>
      <c r="B199" s="46" t="s">
        <v>144</v>
      </c>
      <c r="C199" s="46" t="s">
        <v>145</v>
      </c>
      <c r="D199" s="46" t="s">
        <v>146</v>
      </c>
      <c r="E199" s="46" t="s">
        <v>16</v>
      </c>
      <c r="F199" s="46">
        <v>132726</v>
      </c>
      <c r="G199" s="46">
        <v>7918</v>
      </c>
      <c r="H199" s="46">
        <v>1387</v>
      </c>
      <c r="I199" s="46">
        <v>700</v>
      </c>
      <c r="J199" s="46">
        <v>353</v>
      </c>
      <c r="K199" s="46" t="s">
        <v>420</v>
      </c>
      <c r="L199" s="46" t="s">
        <v>421</v>
      </c>
      <c r="M199" s="46" t="s">
        <v>35</v>
      </c>
    </row>
    <row r="200" spans="1:13">
      <c r="A200" s="47">
        <v>45459</v>
      </c>
      <c r="B200" s="46" t="s">
        <v>144</v>
      </c>
      <c r="C200" s="46" t="s">
        <v>145</v>
      </c>
      <c r="D200" s="46" t="s">
        <v>146</v>
      </c>
      <c r="E200" s="46" t="s">
        <v>16</v>
      </c>
      <c r="F200" s="46">
        <v>251270</v>
      </c>
      <c r="G200" s="46">
        <v>9386</v>
      </c>
      <c r="H200" s="46">
        <v>1500</v>
      </c>
      <c r="I200" s="46">
        <v>689</v>
      </c>
      <c r="J200" s="46">
        <v>349</v>
      </c>
      <c r="K200" s="46" t="s">
        <v>422</v>
      </c>
      <c r="L200" s="46" t="s">
        <v>423</v>
      </c>
      <c r="M200" s="46" t="s">
        <v>22</v>
      </c>
    </row>
    <row r="201" spans="1:13">
      <c r="A201" s="47">
        <v>45460</v>
      </c>
      <c r="B201" s="46" t="s">
        <v>144</v>
      </c>
      <c r="C201" s="46" t="s">
        <v>145</v>
      </c>
      <c r="D201" s="46" t="s">
        <v>146</v>
      </c>
      <c r="E201" s="46" t="s">
        <v>16</v>
      </c>
      <c r="F201" s="46">
        <v>207125</v>
      </c>
      <c r="G201" s="46">
        <v>16396</v>
      </c>
      <c r="H201" s="46">
        <v>3081</v>
      </c>
      <c r="I201" s="46">
        <v>1427</v>
      </c>
      <c r="J201" s="46">
        <v>767</v>
      </c>
      <c r="K201" s="46" t="s">
        <v>424</v>
      </c>
      <c r="L201" s="46" t="s">
        <v>425</v>
      </c>
      <c r="M201" s="46" t="s">
        <v>19</v>
      </c>
    </row>
    <row r="202" spans="1:13">
      <c r="A202" s="47">
        <v>45461</v>
      </c>
      <c r="B202" s="46" t="s">
        <v>144</v>
      </c>
      <c r="C202" s="46" t="s">
        <v>145</v>
      </c>
      <c r="D202" s="46" t="s">
        <v>146</v>
      </c>
      <c r="E202" s="46" t="s">
        <v>16</v>
      </c>
      <c r="F202" s="46">
        <v>224667</v>
      </c>
      <c r="G202" s="46">
        <v>15878</v>
      </c>
      <c r="H202" s="46">
        <v>3948</v>
      </c>
      <c r="I202" s="46">
        <v>2098</v>
      </c>
      <c r="J202" s="46">
        <v>1224</v>
      </c>
      <c r="K202" s="46" t="s">
        <v>426</v>
      </c>
      <c r="L202" s="46" t="s">
        <v>427</v>
      </c>
      <c r="M202" s="46" t="s">
        <v>35</v>
      </c>
    </row>
    <row r="203" spans="1:13">
      <c r="A203" s="47">
        <v>45462</v>
      </c>
      <c r="B203" s="46" t="s">
        <v>144</v>
      </c>
      <c r="C203" s="46" t="s">
        <v>145</v>
      </c>
      <c r="D203" s="46" t="s">
        <v>146</v>
      </c>
      <c r="E203" s="46" t="s">
        <v>16</v>
      </c>
      <c r="F203" s="46">
        <v>295874</v>
      </c>
      <c r="G203" s="46">
        <v>20384</v>
      </c>
      <c r="H203" s="46">
        <v>3505</v>
      </c>
      <c r="I203" s="46">
        <v>2023</v>
      </c>
      <c r="J203" s="46">
        <v>974</v>
      </c>
      <c r="K203" s="46" t="s">
        <v>428</v>
      </c>
      <c r="L203" s="46" t="s">
        <v>429</v>
      </c>
      <c r="M203" s="46" t="s">
        <v>35</v>
      </c>
    </row>
    <row r="204" spans="1:13">
      <c r="A204" s="47">
        <v>45463</v>
      </c>
      <c r="B204" s="46" t="s">
        <v>144</v>
      </c>
      <c r="C204" s="46" t="s">
        <v>145</v>
      </c>
      <c r="D204" s="46" t="s">
        <v>146</v>
      </c>
      <c r="E204" s="46" t="s">
        <v>16</v>
      </c>
      <c r="F204" s="46">
        <v>205409</v>
      </c>
      <c r="G204" s="46">
        <v>7026</v>
      </c>
      <c r="H204" s="46">
        <v>1119</v>
      </c>
      <c r="I204" s="46">
        <v>706</v>
      </c>
      <c r="J204" s="46">
        <v>423</v>
      </c>
      <c r="K204" s="46" t="s">
        <v>430</v>
      </c>
      <c r="L204" s="46" t="s">
        <v>431</v>
      </c>
      <c r="M204" s="46" t="s">
        <v>46</v>
      </c>
    </row>
    <row r="205" spans="1:13">
      <c r="A205" s="47">
        <v>45464</v>
      </c>
      <c r="B205" s="46" t="s">
        <v>144</v>
      </c>
      <c r="C205" s="46" t="s">
        <v>145</v>
      </c>
      <c r="D205" s="46" t="s">
        <v>146</v>
      </c>
      <c r="E205" s="46" t="s">
        <v>16</v>
      </c>
      <c r="F205" s="46">
        <v>189047</v>
      </c>
      <c r="G205" s="46">
        <v>7231</v>
      </c>
      <c r="H205" s="46">
        <v>1473</v>
      </c>
      <c r="I205" s="46">
        <v>846</v>
      </c>
      <c r="J205" s="46">
        <v>469</v>
      </c>
      <c r="K205" s="46" t="s">
        <v>432</v>
      </c>
      <c r="L205" s="46" t="s">
        <v>433</v>
      </c>
      <c r="M205" s="46" t="s">
        <v>22</v>
      </c>
    </row>
    <row r="206" spans="1:13">
      <c r="A206" s="47">
        <v>45465</v>
      </c>
      <c r="B206" s="46" t="s">
        <v>144</v>
      </c>
      <c r="C206" s="46" t="s">
        <v>145</v>
      </c>
      <c r="D206" s="46" t="s">
        <v>146</v>
      </c>
      <c r="E206" s="46" t="s">
        <v>16</v>
      </c>
      <c r="F206" s="46">
        <v>174907</v>
      </c>
      <c r="G206" s="46">
        <v>8495</v>
      </c>
      <c r="H206" s="46">
        <v>2121</v>
      </c>
      <c r="I206" s="46">
        <v>1059</v>
      </c>
      <c r="J206" s="46">
        <v>425</v>
      </c>
      <c r="K206" s="46" t="s">
        <v>434</v>
      </c>
      <c r="L206" s="46" t="s">
        <v>435</v>
      </c>
      <c r="M206" s="46" t="s">
        <v>22</v>
      </c>
    </row>
    <row r="207" spans="1:13">
      <c r="A207" s="47">
        <v>45466</v>
      </c>
      <c r="B207" s="46" t="s">
        <v>144</v>
      </c>
      <c r="C207" s="46" t="s">
        <v>145</v>
      </c>
      <c r="D207" s="46" t="s">
        <v>146</v>
      </c>
      <c r="E207" s="46" t="s">
        <v>16</v>
      </c>
      <c r="F207" s="46">
        <v>176167</v>
      </c>
      <c r="G207" s="46">
        <v>10868</v>
      </c>
      <c r="H207" s="46">
        <v>1936</v>
      </c>
      <c r="I207" s="46">
        <v>1164</v>
      </c>
      <c r="J207" s="46">
        <v>627</v>
      </c>
      <c r="K207" s="46" t="s">
        <v>436</v>
      </c>
      <c r="L207" s="46" t="s">
        <v>437</v>
      </c>
      <c r="M207" s="46" t="s">
        <v>35</v>
      </c>
    </row>
    <row r="208" spans="1:13">
      <c r="A208" s="47">
        <v>45467</v>
      </c>
      <c r="B208" s="46" t="s">
        <v>144</v>
      </c>
      <c r="C208" s="46" t="s">
        <v>145</v>
      </c>
      <c r="D208" s="46" t="s">
        <v>146</v>
      </c>
      <c r="E208" s="46" t="s">
        <v>16</v>
      </c>
      <c r="F208" s="46">
        <v>170905</v>
      </c>
      <c r="G208" s="46">
        <v>8986</v>
      </c>
      <c r="H208" s="46">
        <v>2123</v>
      </c>
      <c r="I208" s="46">
        <v>1289</v>
      </c>
      <c r="J208" s="46">
        <v>772</v>
      </c>
      <c r="K208" s="46" t="s">
        <v>438</v>
      </c>
      <c r="L208" s="46" t="s">
        <v>439</v>
      </c>
      <c r="M208" s="46" t="s">
        <v>46</v>
      </c>
    </row>
    <row r="209" spans="1:13">
      <c r="A209" s="47">
        <v>45468</v>
      </c>
      <c r="B209" s="46" t="s">
        <v>144</v>
      </c>
      <c r="C209" s="46" t="s">
        <v>145</v>
      </c>
      <c r="D209" s="46" t="s">
        <v>146</v>
      </c>
      <c r="E209" s="46" t="s">
        <v>16</v>
      </c>
      <c r="F209" s="46">
        <v>92195</v>
      </c>
      <c r="G209" s="46">
        <v>6158</v>
      </c>
      <c r="H209" s="46">
        <v>1102</v>
      </c>
      <c r="I209" s="46">
        <v>514</v>
      </c>
      <c r="J209" s="46">
        <v>217</v>
      </c>
      <c r="K209" s="46" t="s">
        <v>440</v>
      </c>
      <c r="L209" s="46" t="s">
        <v>441</v>
      </c>
      <c r="M209" s="46" t="s">
        <v>19</v>
      </c>
    </row>
    <row r="210" spans="1:13">
      <c r="A210" s="47">
        <v>45469</v>
      </c>
      <c r="B210" s="46" t="s">
        <v>144</v>
      </c>
      <c r="C210" s="46" t="s">
        <v>145</v>
      </c>
      <c r="D210" s="46" t="s">
        <v>146</v>
      </c>
      <c r="E210" s="46" t="s">
        <v>16</v>
      </c>
      <c r="F210" s="46">
        <v>144589</v>
      </c>
      <c r="G210" s="46">
        <v>11439</v>
      </c>
      <c r="H210" s="46">
        <v>2189</v>
      </c>
      <c r="I210" s="46">
        <v>1146</v>
      </c>
      <c r="J210" s="46">
        <v>674</v>
      </c>
      <c r="K210" s="46" t="s">
        <v>442</v>
      </c>
      <c r="L210" s="46" t="s">
        <v>443</v>
      </c>
      <c r="M210" s="46" t="s">
        <v>46</v>
      </c>
    </row>
    <row r="211" spans="1:13">
      <c r="A211" s="47">
        <v>45470</v>
      </c>
      <c r="B211" s="46" t="s">
        <v>144</v>
      </c>
      <c r="C211" s="46" t="s">
        <v>145</v>
      </c>
      <c r="D211" s="46" t="s">
        <v>146</v>
      </c>
      <c r="E211" s="46" t="s">
        <v>16</v>
      </c>
      <c r="F211" s="46">
        <v>218634</v>
      </c>
      <c r="G211" s="46">
        <v>13467</v>
      </c>
      <c r="H211" s="46">
        <v>2852</v>
      </c>
      <c r="I211" s="46">
        <v>1603</v>
      </c>
      <c r="J211" s="46">
        <v>838</v>
      </c>
      <c r="K211" s="46" t="s">
        <v>444</v>
      </c>
      <c r="L211" s="46" t="s">
        <v>445</v>
      </c>
      <c r="M211" s="46" t="s">
        <v>22</v>
      </c>
    </row>
    <row r="212" spans="1:13">
      <c r="A212" s="47">
        <v>45471</v>
      </c>
      <c r="B212" s="46" t="s">
        <v>144</v>
      </c>
      <c r="C212" s="46" t="s">
        <v>145</v>
      </c>
      <c r="D212" s="46" t="s">
        <v>146</v>
      </c>
      <c r="E212" s="46" t="s">
        <v>16</v>
      </c>
      <c r="F212" s="46">
        <v>224017</v>
      </c>
      <c r="G212" s="46">
        <v>17218</v>
      </c>
      <c r="H212" s="46">
        <v>3927</v>
      </c>
      <c r="I212" s="46">
        <v>2217</v>
      </c>
      <c r="J212" s="46">
        <v>1085</v>
      </c>
      <c r="K212" s="46" t="s">
        <v>446</v>
      </c>
      <c r="L212" s="46" t="s">
        <v>447</v>
      </c>
      <c r="M212" s="46" t="s">
        <v>22</v>
      </c>
    </row>
    <row r="213" spans="1:13">
      <c r="A213" s="47">
        <v>45472</v>
      </c>
      <c r="B213" s="46" t="s">
        <v>144</v>
      </c>
      <c r="C213" s="46" t="s">
        <v>145</v>
      </c>
      <c r="D213" s="46" t="s">
        <v>146</v>
      </c>
      <c r="E213" s="46" t="s">
        <v>16</v>
      </c>
      <c r="F213" s="46">
        <v>99562</v>
      </c>
      <c r="G213" s="46">
        <v>5277</v>
      </c>
      <c r="H213" s="46">
        <v>1146</v>
      </c>
      <c r="I213" s="46">
        <v>694</v>
      </c>
      <c r="J213" s="46">
        <v>296</v>
      </c>
      <c r="K213" s="46" t="s">
        <v>448</v>
      </c>
      <c r="L213" s="46" t="s">
        <v>449</v>
      </c>
      <c r="M213" s="46" t="s">
        <v>22</v>
      </c>
    </row>
    <row r="214" spans="1:13">
      <c r="A214" s="47">
        <v>45473</v>
      </c>
      <c r="B214" s="46" t="s">
        <v>144</v>
      </c>
      <c r="C214" s="46" t="s">
        <v>145</v>
      </c>
      <c r="D214" s="46" t="s">
        <v>146</v>
      </c>
      <c r="E214" s="46" t="s">
        <v>16</v>
      </c>
      <c r="F214" s="46">
        <v>247894</v>
      </c>
      <c r="G214" s="46">
        <v>9939</v>
      </c>
      <c r="H214" s="46">
        <v>2312</v>
      </c>
      <c r="I214" s="46">
        <v>1356</v>
      </c>
      <c r="J214" s="46">
        <v>632</v>
      </c>
      <c r="K214" s="46" t="s">
        <v>450</v>
      </c>
      <c r="L214" s="46" t="s">
        <v>451</v>
      </c>
      <c r="M214" s="46" t="s">
        <v>19</v>
      </c>
    </row>
    <row r="215" spans="1:13">
      <c r="A215" s="47">
        <v>45474</v>
      </c>
      <c r="B215" s="46" t="s">
        <v>144</v>
      </c>
      <c r="C215" s="46" t="s">
        <v>145</v>
      </c>
      <c r="D215" s="46" t="s">
        <v>146</v>
      </c>
      <c r="E215" s="46" t="s">
        <v>16</v>
      </c>
      <c r="F215" s="46">
        <v>189966</v>
      </c>
      <c r="G215" s="46">
        <v>6959</v>
      </c>
      <c r="H215" s="46">
        <v>1711</v>
      </c>
      <c r="I215" s="46">
        <v>797</v>
      </c>
      <c r="J215" s="46">
        <v>357</v>
      </c>
      <c r="K215" s="46" t="s">
        <v>452</v>
      </c>
      <c r="L215" s="46" t="s">
        <v>453</v>
      </c>
      <c r="M215" s="46" t="s">
        <v>53</v>
      </c>
    </row>
    <row r="216" spans="1:13">
      <c r="A216" s="47">
        <v>45475</v>
      </c>
      <c r="B216" s="46" t="s">
        <v>144</v>
      </c>
      <c r="C216" s="46" t="s">
        <v>145</v>
      </c>
      <c r="D216" s="46" t="s">
        <v>146</v>
      </c>
      <c r="E216" s="46" t="s">
        <v>16</v>
      </c>
      <c r="F216" s="46">
        <v>290368</v>
      </c>
      <c r="G216" s="46">
        <v>17043</v>
      </c>
      <c r="H216" s="46">
        <v>2956</v>
      </c>
      <c r="I216" s="46">
        <v>1912</v>
      </c>
      <c r="J216" s="46">
        <v>1082</v>
      </c>
      <c r="K216" s="46" t="s">
        <v>454</v>
      </c>
      <c r="L216" s="46" t="s">
        <v>455</v>
      </c>
      <c r="M216" s="46" t="s">
        <v>53</v>
      </c>
    </row>
    <row r="217" spans="1:13">
      <c r="A217" s="47">
        <v>45476</v>
      </c>
      <c r="B217" s="46" t="s">
        <v>144</v>
      </c>
      <c r="C217" s="46" t="s">
        <v>145</v>
      </c>
      <c r="D217" s="46" t="s">
        <v>146</v>
      </c>
      <c r="E217" s="46" t="s">
        <v>16</v>
      </c>
      <c r="F217" s="46">
        <v>98624</v>
      </c>
      <c r="G217" s="46">
        <v>5398</v>
      </c>
      <c r="H217" s="46">
        <v>1025</v>
      </c>
      <c r="I217" s="46">
        <v>555</v>
      </c>
      <c r="J217" s="46">
        <v>234</v>
      </c>
      <c r="K217" s="46" t="s">
        <v>456</v>
      </c>
      <c r="L217" s="46" t="s">
        <v>457</v>
      </c>
      <c r="M217" s="46" t="s">
        <v>35</v>
      </c>
    </row>
    <row r="218" spans="1:13">
      <c r="A218" s="47">
        <v>45477</v>
      </c>
      <c r="B218" s="46" t="s">
        <v>144</v>
      </c>
      <c r="C218" s="46" t="s">
        <v>145</v>
      </c>
      <c r="D218" s="46" t="s">
        <v>146</v>
      </c>
      <c r="E218" s="46" t="s">
        <v>16</v>
      </c>
      <c r="F218" s="46">
        <v>185544</v>
      </c>
      <c r="G218" s="46">
        <v>8967</v>
      </c>
      <c r="H218" s="46">
        <v>1881</v>
      </c>
      <c r="I218" s="46">
        <v>974</v>
      </c>
      <c r="J218" s="46">
        <v>497</v>
      </c>
      <c r="K218" s="46" t="s">
        <v>458</v>
      </c>
      <c r="L218" s="46" t="s">
        <v>459</v>
      </c>
      <c r="M218" s="46" t="s">
        <v>22</v>
      </c>
    </row>
    <row r="219" spans="1:13">
      <c r="A219" s="47">
        <v>45478</v>
      </c>
      <c r="B219" s="46" t="s">
        <v>144</v>
      </c>
      <c r="C219" s="46" t="s">
        <v>145</v>
      </c>
      <c r="D219" s="46" t="s">
        <v>146</v>
      </c>
      <c r="E219" s="46" t="s">
        <v>16</v>
      </c>
      <c r="F219" s="46">
        <v>64345</v>
      </c>
      <c r="G219" s="46">
        <v>2893</v>
      </c>
      <c r="H219" s="46">
        <v>673</v>
      </c>
      <c r="I219" s="46">
        <v>399</v>
      </c>
      <c r="J219" s="46">
        <v>231</v>
      </c>
      <c r="K219" s="46" t="s">
        <v>460</v>
      </c>
      <c r="L219" s="46" t="s">
        <v>461</v>
      </c>
      <c r="M219" s="46" t="s">
        <v>35</v>
      </c>
    </row>
    <row r="220" spans="1:13">
      <c r="A220" s="47">
        <v>45479</v>
      </c>
      <c r="B220" s="46" t="s">
        <v>144</v>
      </c>
      <c r="C220" s="46" t="s">
        <v>145</v>
      </c>
      <c r="D220" s="46" t="s">
        <v>146</v>
      </c>
      <c r="E220" s="46" t="s">
        <v>16</v>
      </c>
      <c r="F220" s="46">
        <v>260059</v>
      </c>
      <c r="G220" s="46">
        <v>15459</v>
      </c>
      <c r="H220" s="46">
        <v>2859</v>
      </c>
      <c r="I220" s="46">
        <v>1616</v>
      </c>
      <c r="J220" s="46">
        <v>748</v>
      </c>
      <c r="K220" s="46" t="s">
        <v>462</v>
      </c>
      <c r="L220" s="46" t="s">
        <v>463</v>
      </c>
      <c r="M220" s="46" t="s">
        <v>46</v>
      </c>
    </row>
    <row r="221" spans="1:13">
      <c r="A221" s="47">
        <v>45480</v>
      </c>
      <c r="B221" s="46" t="s">
        <v>144</v>
      </c>
      <c r="C221" s="46" t="s">
        <v>145</v>
      </c>
      <c r="D221" s="46" t="s">
        <v>146</v>
      </c>
      <c r="E221" s="46" t="s">
        <v>16</v>
      </c>
      <c r="F221" s="46">
        <v>272679</v>
      </c>
      <c r="G221" s="46">
        <v>12573</v>
      </c>
      <c r="H221" s="46">
        <v>2386</v>
      </c>
      <c r="I221" s="46">
        <v>1298</v>
      </c>
      <c r="J221" s="46">
        <v>669</v>
      </c>
      <c r="K221" s="46" t="s">
        <v>464</v>
      </c>
      <c r="L221" s="46" t="s">
        <v>465</v>
      </c>
      <c r="M221" s="46" t="s">
        <v>35</v>
      </c>
    </row>
    <row r="222" spans="1:13">
      <c r="A222" s="47">
        <v>45481</v>
      </c>
      <c r="B222" s="46" t="s">
        <v>144</v>
      </c>
      <c r="C222" s="46" t="s">
        <v>145</v>
      </c>
      <c r="D222" s="46" t="s">
        <v>146</v>
      </c>
      <c r="E222" s="46" t="s">
        <v>16</v>
      </c>
      <c r="F222" s="46">
        <v>248350</v>
      </c>
      <c r="G222" s="46">
        <v>16741</v>
      </c>
      <c r="H222" s="46">
        <v>2897</v>
      </c>
      <c r="I222" s="46">
        <v>1713</v>
      </c>
      <c r="J222" s="46">
        <v>861</v>
      </c>
      <c r="K222" s="46" t="s">
        <v>466</v>
      </c>
      <c r="L222" s="46" t="s">
        <v>467</v>
      </c>
      <c r="M222" s="46" t="s">
        <v>46</v>
      </c>
    </row>
    <row r="223" spans="1:13">
      <c r="A223" s="47">
        <v>45482</v>
      </c>
      <c r="B223" s="46" t="s">
        <v>144</v>
      </c>
      <c r="C223" s="46" t="s">
        <v>145</v>
      </c>
      <c r="D223" s="46" t="s">
        <v>146</v>
      </c>
      <c r="E223" s="46" t="s">
        <v>16</v>
      </c>
      <c r="F223" s="46">
        <v>177393</v>
      </c>
      <c r="G223" s="46">
        <v>7806</v>
      </c>
      <c r="H223" s="46">
        <v>1826</v>
      </c>
      <c r="I223" s="46">
        <v>1016</v>
      </c>
      <c r="J223" s="46">
        <v>471</v>
      </c>
      <c r="K223" s="46" t="s">
        <v>468</v>
      </c>
      <c r="L223" s="46" t="s">
        <v>469</v>
      </c>
      <c r="M223" s="46" t="s">
        <v>46</v>
      </c>
    </row>
    <row r="224" spans="1:13">
      <c r="A224" s="47">
        <v>45483</v>
      </c>
      <c r="B224" s="46" t="s">
        <v>144</v>
      </c>
      <c r="C224" s="46" t="s">
        <v>145</v>
      </c>
      <c r="D224" s="46" t="s">
        <v>146</v>
      </c>
      <c r="E224" s="46" t="s">
        <v>16</v>
      </c>
      <c r="F224" s="46">
        <v>151029</v>
      </c>
      <c r="G224" s="46">
        <v>9303</v>
      </c>
      <c r="H224" s="46">
        <v>1887</v>
      </c>
      <c r="I224" s="46">
        <v>1057</v>
      </c>
      <c r="J224" s="46">
        <v>498</v>
      </c>
      <c r="K224" s="46" t="s">
        <v>470</v>
      </c>
      <c r="L224" s="46" t="s">
        <v>471</v>
      </c>
      <c r="M224" s="46" t="s">
        <v>46</v>
      </c>
    </row>
    <row r="225" spans="1:13">
      <c r="A225" s="47">
        <v>45484</v>
      </c>
      <c r="B225" s="46" t="s">
        <v>144</v>
      </c>
      <c r="C225" s="46" t="s">
        <v>145</v>
      </c>
      <c r="D225" s="46" t="s">
        <v>146</v>
      </c>
      <c r="E225" s="46" t="s">
        <v>16</v>
      </c>
      <c r="F225" s="46">
        <v>53745</v>
      </c>
      <c r="G225" s="46">
        <v>4296</v>
      </c>
      <c r="H225" s="46">
        <v>787</v>
      </c>
      <c r="I225" s="46">
        <v>354</v>
      </c>
      <c r="J225" s="46">
        <v>145</v>
      </c>
      <c r="K225" s="46" t="s">
        <v>472</v>
      </c>
      <c r="L225" s="46" t="s">
        <v>473</v>
      </c>
      <c r="M225" s="46" t="s">
        <v>22</v>
      </c>
    </row>
    <row r="226" spans="1:13">
      <c r="A226" s="47">
        <v>45485</v>
      </c>
      <c r="B226" s="46" t="s">
        <v>144</v>
      </c>
      <c r="C226" s="46" t="s">
        <v>145</v>
      </c>
      <c r="D226" s="46" t="s">
        <v>146</v>
      </c>
      <c r="E226" s="46" t="s">
        <v>16</v>
      </c>
      <c r="F226" s="46">
        <v>81985</v>
      </c>
      <c r="G226" s="46">
        <v>2676</v>
      </c>
      <c r="H226" s="46">
        <v>589</v>
      </c>
      <c r="I226" s="46">
        <v>334</v>
      </c>
      <c r="J226" s="46">
        <v>155</v>
      </c>
      <c r="K226" s="46" t="s">
        <v>474</v>
      </c>
      <c r="L226" s="46" t="s">
        <v>475</v>
      </c>
      <c r="M226" s="46" t="s">
        <v>35</v>
      </c>
    </row>
    <row r="227" spans="1:13">
      <c r="A227" s="47">
        <v>45486</v>
      </c>
      <c r="B227" s="46" t="s">
        <v>144</v>
      </c>
      <c r="C227" s="46" t="s">
        <v>145</v>
      </c>
      <c r="D227" s="46" t="s">
        <v>146</v>
      </c>
      <c r="E227" s="46" t="s">
        <v>16</v>
      </c>
      <c r="F227" s="46">
        <v>101535</v>
      </c>
      <c r="G227" s="46">
        <v>3234</v>
      </c>
      <c r="H227" s="46">
        <v>704</v>
      </c>
      <c r="I227" s="46">
        <v>418</v>
      </c>
      <c r="J227" s="46">
        <v>167</v>
      </c>
      <c r="K227" s="46" t="s">
        <v>476</v>
      </c>
      <c r="L227" s="46" t="s">
        <v>477</v>
      </c>
      <c r="M227" s="46" t="s">
        <v>53</v>
      </c>
    </row>
    <row r="228" spans="1:13">
      <c r="A228" s="47">
        <v>45487</v>
      </c>
      <c r="B228" s="46" t="s">
        <v>144</v>
      </c>
      <c r="C228" s="46" t="s">
        <v>145</v>
      </c>
      <c r="D228" s="46" t="s">
        <v>146</v>
      </c>
      <c r="E228" s="46" t="s">
        <v>16</v>
      </c>
      <c r="F228" s="46">
        <v>56203</v>
      </c>
      <c r="G228" s="46">
        <v>3399</v>
      </c>
      <c r="H228" s="46">
        <v>526</v>
      </c>
      <c r="I228" s="46">
        <v>282</v>
      </c>
      <c r="J228" s="46">
        <v>124</v>
      </c>
      <c r="K228" s="46" t="s">
        <v>478</v>
      </c>
      <c r="L228" s="46" t="s">
        <v>479</v>
      </c>
      <c r="M228" s="46" t="s">
        <v>35</v>
      </c>
    </row>
    <row r="229" spans="1:13">
      <c r="A229" s="47">
        <v>45488</v>
      </c>
      <c r="B229" s="46" t="s">
        <v>144</v>
      </c>
      <c r="C229" s="46" t="s">
        <v>145</v>
      </c>
      <c r="D229" s="46" t="s">
        <v>146</v>
      </c>
      <c r="E229" s="46" t="s">
        <v>16</v>
      </c>
      <c r="F229" s="46">
        <v>172571</v>
      </c>
      <c r="G229" s="46">
        <v>12649</v>
      </c>
      <c r="H229" s="46">
        <v>2920</v>
      </c>
      <c r="I229" s="46">
        <v>1512</v>
      </c>
      <c r="J229" s="46">
        <v>709</v>
      </c>
      <c r="K229" s="46" t="s">
        <v>480</v>
      </c>
      <c r="L229" s="46" t="s">
        <v>481</v>
      </c>
      <c r="M229" s="46" t="s">
        <v>19</v>
      </c>
    </row>
    <row r="230" spans="1:13">
      <c r="A230" s="47">
        <v>45489</v>
      </c>
      <c r="B230" s="46" t="s">
        <v>144</v>
      </c>
      <c r="C230" s="46" t="s">
        <v>145</v>
      </c>
      <c r="D230" s="46" t="s">
        <v>146</v>
      </c>
      <c r="E230" s="46" t="s">
        <v>16</v>
      </c>
      <c r="F230" s="46">
        <v>206620</v>
      </c>
      <c r="G230" s="46">
        <v>15320</v>
      </c>
      <c r="H230" s="46">
        <v>3284</v>
      </c>
      <c r="I230" s="46">
        <v>2077</v>
      </c>
      <c r="J230" s="46">
        <v>936</v>
      </c>
      <c r="K230" s="46" t="s">
        <v>482</v>
      </c>
      <c r="L230" s="46" t="s">
        <v>483</v>
      </c>
      <c r="M230" s="46" t="s">
        <v>19</v>
      </c>
    </row>
    <row r="231" spans="1:13">
      <c r="A231" s="47">
        <v>45490</v>
      </c>
      <c r="B231" s="46" t="s">
        <v>144</v>
      </c>
      <c r="C231" s="46" t="s">
        <v>145</v>
      </c>
      <c r="D231" s="46" t="s">
        <v>146</v>
      </c>
      <c r="E231" s="46" t="s">
        <v>16</v>
      </c>
      <c r="F231" s="46">
        <v>238579</v>
      </c>
      <c r="G231" s="46">
        <v>11277</v>
      </c>
      <c r="H231" s="46">
        <v>1997</v>
      </c>
      <c r="I231" s="46">
        <v>942</v>
      </c>
      <c r="J231" s="46">
        <v>481</v>
      </c>
      <c r="K231" s="46" t="s">
        <v>484</v>
      </c>
      <c r="L231" s="46" t="s">
        <v>485</v>
      </c>
      <c r="M231" s="46" t="s">
        <v>19</v>
      </c>
    </row>
    <row r="232" spans="1:13">
      <c r="A232" s="47">
        <v>45491</v>
      </c>
      <c r="B232" s="46" t="s">
        <v>144</v>
      </c>
      <c r="C232" s="46" t="s">
        <v>145</v>
      </c>
      <c r="D232" s="46" t="s">
        <v>146</v>
      </c>
      <c r="E232" s="46" t="s">
        <v>16</v>
      </c>
      <c r="F232" s="46">
        <v>299596</v>
      </c>
      <c r="G232" s="46">
        <v>13778</v>
      </c>
      <c r="H232" s="46">
        <v>2469</v>
      </c>
      <c r="I232" s="46">
        <v>1401</v>
      </c>
      <c r="J232" s="46">
        <v>803</v>
      </c>
      <c r="K232" s="46" t="s">
        <v>486</v>
      </c>
      <c r="L232" s="46" t="s">
        <v>487</v>
      </c>
      <c r="M232" s="46" t="s">
        <v>46</v>
      </c>
    </row>
    <row r="233" spans="1:13">
      <c r="A233" s="47">
        <v>45492</v>
      </c>
      <c r="B233" s="46" t="s">
        <v>144</v>
      </c>
      <c r="C233" s="46" t="s">
        <v>145</v>
      </c>
      <c r="D233" s="46" t="s">
        <v>146</v>
      </c>
      <c r="E233" s="46" t="s">
        <v>16</v>
      </c>
      <c r="F233" s="46">
        <v>289584</v>
      </c>
      <c r="G233" s="46">
        <v>9928</v>
      </c>
      <c r="H233" s="46">
        <v>1754</v>
      </c>
      <c r="I233" s="46">
        <v>852</v>
      </c>
      <c r="J233" s="46">
        <v>495</v>
      </c>
      <c r="K233" s="46" t="s">
        <v>488</v>
      </c>
      <c r="L233" s="46" t="s">
        <v>489</v>
      </c>
      <c r="M233" s="46" t="s">
        <v>22</v>
      </c>
    </row>
    <row r="234" spans="1:13">
      <c r="A234" s="47">
        <v>45493</v>
      </c>
      <c r="B234" s="46" t="s">
        <v>144</v>
      </c>
      <c r="C234" s="46" t="s">
        <v>145</v>
      </c>
      <c r="D234" s="46" t="s">
        <v>146</v>
      </c>
      <c r="E234" s="46" t="s">
        <v>16</v>
      </c>
      <c r="F234" s="46">
        <v>272890</v>
      </c>
      <c r="G234" s="46">
        <v>10309</v>
      </c>
      <c r="H234" s="46">
        <v>2371</v>
      </c>
      <c r="I234" s="46">
        <v>1461</v>
      </c>
      <c r="J234" s="46">
        <v>865</v>
      </c>
      <c r="K234" s="46" t="s">
        <v>490</v>
      </c>
      <c r="L234" s="46" t="s">
        <v>491</v>
      </c>
      <c r="M234" s="46" t="s">
        <v>19</v>
      </c>
    </row>
    <row r="235" spans="1:13">
      <c r="A235" s="47">
        <v>45494</v>
      </c>
      <c r="B235" s="46" t="s">
        <v>144</v>
      </c>
      <c r="C235" s="46" t="s">
        <v>145</v>
      </c>
      <c r="D235" s="46" t="s">
        <v>146</v>
      </c>
      <c r="E235" s="46" t="s">
        <v>16</v>
      </c>
      <c r="F235" s="46">
        <v>285905</v>
      </c>
      <c r="G235" s="46">
        <v>8585</v>
      </c>
      <c r="H235" s="46">
        <v>1949</v>
      </c>
      <c r="I235" s="46">
        <v>993</v>
      </c>
      <c r="J235" s="46">
        <v>582</v>
      </c>
      <c r="K235" s="46" t="s">
        <v>492</v>
      </c>
      <c r="L235" s="46" t="s">
        <v>493</v>
      </c>
      <c r="M235" s="46" t="s">
        <v>19</v>
      </c>
    </row>
    <row r="236" spans="1:13">
      <c r="A236" s="47">
        <v>45495</v>
      </c>
      <c r="B236" s="46" t="s">
        <v>144</v>
      </c>
      <c r="C236" s="46" t="s">
        <v>145</v>
      </c>
      <c r="D236" s="46" t="s">
        <v>146</v>
      </c>
      <c r="E236" s="46" t="s">
        <v>16</v>
      </c>
      <c r="F236" s="46">
        <v>92579</v>
      </c>
      <c r="G236" s="46">
        <v>6825</v>
      </c>
      <c r="H236" s="46">
        <v>1236</v>
      </c>
      <c r="I236" s="46">
        <v>768</v>
      </c>
      <c r="J236" s="46">
        <v>372</v>
      </c>
      <c r="K236" s="46" t="s">
        <v>494</v>
      </c>
      <c r="L236" s="46" t="s">
        <v>495</v>
      </c>
      <c r="M236" s="46" t="s">
        <v>19</v>
      </c>
    </row>
    <row r="237" spans="1:13">
      <c r="A237" s="47">
        <v>45496</v>
      </c>
      <c r="B237" s="46" t="s">
        <v>144</v>
      </c>
      <c r="C237" s="46" t="s">
        <v>145</v>
      </c>
      <c r="D237" s="46" t="s">
        <v>146</v>
      </c>
      <c r="E237" s="46" t="s">
        <v>16</v>
      </c>
      <c r="F237" s="46">
        <v>262199</v>
      </c>
      <c r="G237" s="46">
        <v>20171</v>
      </c>
      <c r="H237" s="46">
        <v>3719</v>
      </c>
      <c r="I237" s="46">
        <v>2289</v>
      </c>
      <c r="J237" s="46">
        <v>1259</v>
      </c>
      <c r="K237" s="46" t="s">
        <v>496</v>
      </c>
      <c r="L237" s="46" t="s">
        <v>497</v>
      </c>
      <c r="M237" s="46" t="s">
        <v>22</v>
      </c>
    </row>
    <row r="238" spans="1:13">
      <c r="A238" s="47">
        <v>45497</v>
      </c>
      <c r="B238" s="46" t="s">
        <v>144</v>
      </c>
      <c r="C238" s="46" t="s">
        <v>145</v>
      </c>
      <c r="D238" s="46" t="s">
        <v>146</v>
      </c>
      <c r="E238" s="46" t="s">
        <v>16</v>
      </c>
      <c r="F238" s="46">
        <v>198212</v>
      </c>
      <c r="G238" s="46">
        <v>6874</v>
      </c>
      <c r="H238" s="46">
        <v>1415</v>
      </c>
      <c r="I238" s="46">
        <v>799</v>
      </c>
      <c r="J238" s="46">
        <v>462</v>
      </c>
      <c r="K238" s="46" t="s">
        <v>498</v>
      </c>
      <c r="L238" s="46" t="s">
        <v>499</v>
      </c>
      <c r="M238" s="46" t="s">
        <v>46</v>
      </c>
    </row>
    <row r="239" spans="1:13">
      <c r="A239" s="47">
        <v>45498</v>
      </c>
      <c r="B239" s="46" t="s">
        <v>144</v>
      </c>
      <c r="C239" s="46" t="s">
        <v>145</v>
      </c>
      <c r="D239" s="46" t="s">
        <v>146</v>
      </c>
      <c r="E239" s="46" t="s">
        <v>16</v>
      </c>
      <c r="F239" s="46">
        <v>118809</v>
      </c>
      <c r="G239" s="46">
        <v>7312</v>
      </c>
      <c r="H239" s="46">
        <v>1760</v>
      </c>
      <c r="I239" s="46">
        <v>995</v>
      </c>
      <c r="J239" s="46">
        <v>443</v>
      </c>
      <c r="K239" s="46" t="s">
        <v>500</v>
      </c>
      <c r="L239" s="46" t="s">
        <v>501</v>
      </c>
      <c r="M239" s="46" t="s">
        <v>19</v>
      </c>
    </row>
    <row r="240" spans="1:13">
      <c r="A240" s="47">
        <v>45499</v>
      </c>
      <c r="B240" s="46" t="s">
        <v>144</v>
      </c>
      <c r="C240" s="46" t="s">
        <v>145</v>
      </c>
      <c r="D240" s="46" t="s">
        <v>146</v>
      </c>
      <c r="E240" s="46" t="s">
        <v>16</v>
      </c>
      <c r="F240" s="46">
        <v>182889</v>
      </c>
      <c r="G240" s="46">
        <v>5572</v>
      </c>
      <c r="H240" s="46">
        <v>878</v>
      </c>
      <c r="I240" s="46">
        <v>401</v>
      </c>
      <c r="J240" s="46">
        <v>226</v>
      </c>
      <c r="K240" s="46" t="s">
        <v>502</v>
      </c>
      <c r="L240" s="46" t="s">
        <v>503</v>
      </c>
      <c r="M240" s="46" t="s">
        <v>22</v>
      </c>
    </row>
    <row r="241" spans="1:13">
      <c r="A241" s="47">
        <v>45500</v>
      </c>
      <c r="B241" s="46" t="s">
        <v>144</v>
      </c>
      <c r="C241" s="46" t="s">
        <v>145</v>
      </c>
      <c r="D241" s="46" t="s">
        <v>146</v>
      </c>
      <c r="E241" s="46" t="s">
        <v>16</v>
      </c>
      <c r="F241" s="46">
        <v>85016</v>
      </c>
      <c r="G241" s="46">
        <v>3976</v>
      </c>
      <c r="H241" s="46">
        <v>731</v>
      </c>
      <c r="I241" s="46">
        <v>365</v>
      </c>
      <c r="J241" s="46">
        <v>182</v>
      </c>
      <c r="K241" s="46" t="s">
        <v>504</v>
      </c>
      <c r="L241" s="46" t="s">
        <v>505</v>
      </c>
      <c r="M241" s="46" t="s">
        <v>53</v>
      </c>
    </row>
    <row r="242" spans="1:13">
      <c r="A242" s="47">
        <v>45501</v>
      </c>
      <c r="B242" s="46" t="s">
        <v>144</v>
      </c>
      <c r="C242" s="46" t="s">
        <v>145</v>
      </c>
      <c r="D242" s="46" t="s">
        <v>146</v>
      </c>
      <c r="E242" s="46" t="s">
        <v>16</v>
      </c>
      <c r="F242" s="46">
        <v>136206</v>
      </c>
      <c r="G242" s="46">
        <v>8419</v>
      </c>
      <c r="H242" s="46">
        <v>2017</v>
      </c>
      <c r="I242" s="46">
        <v>1200</v>
      </c>
      <c r="J242" s="46">
        <v>719</v>
      </c>
      <c r="K242" s="46" t="s">
        <v>506</v>
      </c>
      <c r="L242" s="46" t="s">
        <v>507</v>
      </c>
      <c r="M242" s="46" t="s">
        <v>19</v>
      </c>
    </row>
    <row r="243" spans="1:13">
      <c r="A243" s="47">
        <v>45502</v>
      </c>
      <c r="B243" s="46" t="s">
        <v>144</v>
      </c>
      <c r="C243" s="46" t="s">
        <v>145</v>
      </c>
      <c r="D243" s="46" t="s">
        <v>146</v>
      </c>
      <c r="E243" s="46" t="s">
        <v>16</v>
      </c>
      <c r="F243" s="46">
        <v>165347</v>
      </c>
      <c r="G243" s="46">
        <v>11046</v>
      </c>
      <c r="H243" s="46">
        <v>2068</v>
      </c>
      <c r="I243" s="46">
        <v>1143</v>
      </c>
      <c r="J243" s="46">
        <v>503</v>
      </c>
      <c r="K243" s="46" t="s">
        <v>508</v>
      </c>
      <c r="L243" s="46" t="s">
        <v>509</v>
      </c>
      <c r="M243" s="46" t="s">
        <v>53</v>
      </c>
    </row>
    <row r="244" spans="1:13">
      <c r="A244" s="47">
        <v>45503</v>
      </c>
      <c r="B244" s="46" t="s">
        <v>144</v>
      </c>
      <c r="C244" s="46" t="s">
        <v>145</v>
      </c>
      <c r="D244" s="46" t="s">
        <v>146</v>
      </c>
      <c r="E244" s="46" t="s">
        <v>16</v>
      </c>
      <c r="F244" s="46">
        <v>293930</v>
      </c>
      <c r="G244" s="46">
        <v>12917</v>
      </c>
      <c r="H244" s="46">
        <v>3074</v>
      </c>
      <c r="I244" s="46">
        <v>1552</v>
      </c>
      <c r="J244" s="46">
        <v>860</v>
      </c>
      <c r="K244" s="46" t="s">
        <v>510</v>
      </c>
      <c r="L244" s="46" t="s">
        <v>511</v>
      </c>
      <c r="M244" s="46" t="s">
        <v>19</v>
      </c>
    </row>
    <row r="245" spans="1:13">
      <c r="A245" s="47">
        <v>45504</v>
      </c>
      <c r="B245" s="46" t="s">
        <v>144</v>
      </c>
      <c r="C245" s="46" t="s">
        <v>145</v>
      </c>
      <c r="D245" s="46" t="s">
        <v>146</v>
      </c>
      <c r="E245" s="46" t="s">
        <v>16</v>
      </c>
      <c r="F245" s="46">
        <v>143598</v>
      </c>
      <c r="G245" s="46">
        <v>9751</v>
      </c>
      <c r="H245" s="46">
        <v>1930</v>
      </c>
      <c r="I245" s="46">
        <v>965</v>
      </c>
      <c r="J245" s="46">
        <v>442</v>
      </c>
      <c r="K245" s="46" t="s">
        <v>512</v>
      </c>
      <c r="L245" s="46" t="s">
        <v>513</v>
      </c>
      <c r="M245" s="46" t="s">
        <v>46</v>
      </c>
    </row>
    <row r="246" spans="1:13">
      <c r="A246" s="47">
        <v>45505</v>
      </c>
      <c r="B246" s="46" t="s">
        <v>144</v>
      </c>
      <c r="C246" s="46" t="s">
        <v>145</v>
      </c>
      <c r="D246" s="46" t="s">
        <v>146</v>
      </c>
      <c r="E246" s="46" t="s">
        <v>16</v>
      </c>
      <c r="F246" s="46">
        <v>54410</v>
      </c>
      <c r="G246" s="46">
        <v>4309</v>
      </c>
      <c r="H246" s="46">
        <v>693</v>
      </c>
      <c r="I246" s="46">
        <v>357</v>
      </c>
      <c r="J246" s="46">
        <v>191</v>
      </c>
      <c r="K246" s="46" t="s">
        <v>514</v>
      </c>
      <c r="L246" s="46" t="s">
        <v>515</v>
      </c>
      <c r="M246" s="46" t="s">
        <v>22</v>
      </c>
    </row>
    <row r="247" spans="1:13">
      <c r="A247" s="47">
        <v>45505</v>
      </c>
      <c r="B247" s="46" t="s">
        <v>516</v>
      </c>
      <c r="C247" s="46" t="s">
        <v>517</v>
      </c>
      <c r="D247" s="46" t="s">
        <v>518</v>
      </c>
      <c r="E247" s="46" t="s">
        <v>25</v>
      </c>
      <c r="F247" s="46">
        <v>100600</v>
      </c>
      <c r="G247" s="46">
        <v>4426</v>
      </c>
      <c r="H247" s="46">
        <v>1006</v>
      </c>
      <c r="I247" s="46">
        <v>578</v>
      </c>
      <c r="J247" s="46">
        <v>315</v>
      </c>
      <c r="K247" s="46" t="s">
        <v>519</v>
      </c>
      <c r="L247" s="46" t="s">
        <v>520</v>
      </c>
      <c r="M247" s="46" t="s">
        <v>53</v>
      </c>
    </row>
    <row r="248" spans="1:13">
      <c r="A248" s="47">
        <v>45506</v>
      </c>
      <c r="B248" s="46" t="s">
        <v>144</v>
      </c>
      <c r="C248" s="46" t="s">
        <v>145</v>
      </c>
      <c r="D248" s="46" t="s">
        <v>146</v>
      </c>
      <c r="E248" s="46" t="s">
        <v>16</v>
      </c>
      <c r="F248" s="46">
        <v>132675</v>
      </c>
      <c r="G248" s="46">
        <v>10342</v>
      </c>
      <c r="H248" s="46">
        <v>1904</v>
      </c>
      <c r="I248" s="46">
        <v>862</v>
      </c>
      <c r="J248" s="46">
        <v>374</v>
      </c>
      <c r="K248" s="46" t="s">
        <v>521</v>
      </c>
      <c r="L248" s="46" t="s">
        <v>522</v>
      </c>
      <c r="M248" s="46" t="s">
        <v>22</v>
      </c>
    </row>
    <row r="249" spans="1:13">
      <c r="A249" s="47">
        <v>45506</v>
      </c>
      <c r="B249" s="46" t="s">
        <v>516</v>
      </c>
      <c r="C249" s="46" t="s">
        <v>517</v>
      </c>
      <c r="D249" s="46" t="s">
        <v>518</v>
      </c>
      <c r="E249" s="46" t="s">
        <v>16</v>
      </c>
      <c r="F249" s="46">
        <v>120721</v>
      </c>
      <c r="G249" s="46">
        <v>9109</v>
      </c>
      <c r="H249" s="46">
        <v>1747</v>
      </c>
      <c r="I249" s="46">
        <v>1023</v>
      </c>
      <c r="J249" s="46">
        <v>521</v>
      </c>
      <c r="K249" s="46" t="s">
        <v>523</v>
      </c>
      <c r="L249" s="46" t="s">
        <v>524</v>
      </c>
      <c r="M249" s="46" t="s">
        <v>22</v>
      </c>
    </row>
    <row r="250" spans="1:13">
      <c r="A250" s="47">
        <v>45507</v>
      </c>
      <c r="B250" s="46" t="s">
        <v>144</v>
      </c>
      <c r="C250" s="46" t="s">
        <v>145</v>
      </c>
      <c r="D250" s="46" t="s">
        <v>146</v>
      </c>
      <c r="E250" s="46" t="s">
        <v>16</v>
      </c>
      <c r="F250" s="46">
        <v>200741</v>
      </c>
      <c r="G250" s="46">
        <v>11692</v>
      </c>
      <c r="H250" s="46">
        <v>2445</v>
      </c>
      <c r="I250" s="46">
        <v>1190</v>
      </c>
      <c r="J250" s="46">
        <v>664</v>
      </c>
      <c r="K250" s="46" t="s">
        <v>525</v>
      </c>
      <c r="L250" s="46" t="s">
        <v>526</v>
      </c>
      <c r="M250" s="46" t="s">
        <v>53</v>
      </c>
    </row>
    <row r="251" spans="1:13">
      <c r="A251" s="47">
        <v>45507</v>
      </c>
      <c r="B251" s="46" t="s">
        <v>516</v>
      </c>
      <c r="C251" s="46" t="s">
        <v>517</v>
      </c>
      <c r="D251" s="46" t="s">
        <v>518</v>
      </c>
      <c r="E251" s="46" t="s">
        <v>16</v>
      </c>
      <c r="F251" s="46">
        <v>208142</v>
      </c>
      <c r="G251" s="46">
        <v>16098</v>
      </c>
      <c r="H251" s="46">
        <v>3655</v>
      </c>
      <c r="I251" s="46">
        <v>2210</v>
      </c>
      <c r="J251" s="46">
        <v>1252</v>
      </c>
      <c r="K251" s="46" t="s">
        <v>527</v>
      </c>
      <c r="L251" s="46" t="s">
        <v>528</v>
      </c>
      <c r="M251" s="46" t="s">
        <v>46</v>
      </c>
    </row>
    <row r="252" spans="1:13">
      <c r="A252" s="47">
        <v>45508</v>
      </c>
      <c r="B252" s="46" t="s">
        <v>144</v>
      </c>
      <c r="C252" s="46" t="s">
        <v>145</v>
      </c>
      <c r="D252" s="46" t="s">
        <v>146</v>
      </c>
      <c r="E252" s="46" t="s">
        <v>16</v>
      </c>
      <c r="F252" s="46">
        <v>62326</v>
      </c>
      <c r="G252" s="46">
        <v>2288</v>
      </c>
      <c r="H252" s="46">
        <v>416</v>
      </c>
      <c r="I252" s="46">
        <v>208</v>
      </c>
      <c r="J252" s="46">
        <v>97</v>
      </c>
      <c r="K252" s="46" t="s">
        <v>529</v>
      </c>
      <c r="L252" s="46" t="s">
        <v>530</v>
      </c>
      <c r="M252" s="46" t="s">
        <v>19</v>
      </c>
    </row>
    <row r="253" spans="1:13">
      <c r="A253" s="47">
        <v>45508</v>
      </c>
      <c r="B253" s="46" t="s">
        <v>516</v>
      </c>
      <c r="C253" s="46" t="s">
        <v>517</v>
      </c>
      <c r="D253" s="46" t="s">
        <v>518</v>
      </c>
      <c r="E253" s="46" t="s">
        <v>25</v>
      </c>
      <c r="F253" s="46">
        <v>60178</v>
      </c>
      <c r="G253" s="46">
        <v>3164</v>
      </c>
      <c r="H253" s="46">
        <v>594</v>
      </c>
      <c r="I253" s="46">
        <v>300</v>
      </c>
      <c r="J253" s="46">
        <v>141</v>
      </c>
      <c r="K253" s="46" t="s">
        <v>531</v>
      </c>
      <c r="L253" s="46" t="s">
        <v>532</v>
      </c>
      <c r="M253" s="46" t="s">
        <v>35</v>
      </c>
    </row>
    <row r="254" spans="1:13">
      <c r="A254" s="47">
        <v>45509</v>
      </c>
      <c r="B254" s="46" t="s">
        <v>144</v>
      </c>
      <c r="C254" s="46" t="s">
        <v>145</v>
      </c>
      <c r="D254" s="46" t="s">
        <v>146</v>
      </c>
      <c r="E254" s="46" t="s">
        <v>16</v>
      </c>
      <c r="F254" s="46">
        <v>105561</v>
      </c>
      <c r="G254" s="46">
        <v>6091</v>
      </c>
      <c r="H254" s="46">
        <v>1210</v>
      </c>
      <c r="I254" s="46">
        <v>657</v>
      </c>
      <c r="J254" s="46">
        <v>361</v>
      </c>
      <c r="K254" s="46" t="s">
        <v>533</v>
      </c>
      <c r="L254" s="46" t="s">
        <v>534</v>
      </c>
      <c r="M254" s="46" t="s">
        <v>53</v>
      </c>
    </row>
    <row r="255" spans="1:13">
      <c r="A255" s="47">
        <v>45509</v>
      </c>
      <c r="B255" s="46" t="s">
        <v>516</v>
      </c>
      <c r="C255" s="46" t="s">
        <v>517</v>
      </c>
      <c r="D255" s="46" t="s">
        <v>518</v>
      </c>
      <c r="E255" s="46" t="s">
        <v>16</v>
      </c>
      <c r="F255" s="46">
        <v>108128</v>
      </c>
      <c r="G255" s="46">
        <v>4562</v>
      </c>
      <c r="H255" s="46">
        <v>1033</v>
      </c>
      <c r="I255" s="46">
        <v>586</v>
      </c>
      <c r="J255" s="46">
        <v>260</v>
      </c>
      <c r="K255" s="46" t="s">
        <v>535</v>
      </c>
      <c r="L255" s="46" t="s">
        <v>536</v>
      </c>
      <c r="M255" s="46" t="s">
        <v>53</v>
      </c>
    </row>
    <row r="256" spans="1:13">
      <c r="A256" s="47">
        <v>45510</v>
      </c>
      <c r="B256" s="46" t="s">
        <v>144</v>
      </c>
      <c r="C256" s="46" t="s">
        <v>145</v>
      </c>
      <c r="D256" s="46" t="s">
        <v>146</v>
      </c>
      <c r="E256" s="46" t="s">
        <v>16</v>
      </c>
      <c r="F256" s="46">
        <v>96715</v>
      </c>
      <c r="G256" s="46">
        <v>4883</v>
      </c>
      <c r="H256" s="46">
        <v>1120</v>
      </c>
      <c r="I256" s="46">
        <v>538</v>
      </c>
      <c r="J256" s="46">
        <v>232</v>
      </c>
      <c r="K256" s="46" t="s">
        <v>537</v>
      </c>
      <c r="L256" s="46" t="s">
        <v>538</v>
      </c>
      <c r="M256" s="46" t="s">
        <v>35</v>
      </c>
    </row>
    <row r="257" spans="1:13">
      <c r="A257" s="47">
        <v>45510</v>
      </c>
      <c r="B257" s="46" t="s">
        <v>516</v>
      </c>
      <c r="C257" s="46" t="s">
        <v>517</v>
      </c>
      <c r="D257" s="46" t="s">
        <v>518</v>
      </c>
      <c r="E257" s="46" t="s">
        <v>28</v>
      </c>
      <c r="F257" s="46">
        <v>99786</v>
      </c>
      <c r="G257" s="46">
        <v>4538</v>
      </c>
      <c r="H257" s="46">
        <v>843</v>
      </c>
      <c r="I257" s="46">
        <v>475</v>
      </c>
      <c r="J257" s="46">
        <v>270</v>
      </c>
      <c r="K257" s="46" t="s">
        <v>539</v>
      </c>
      <c r="L257" s="46" t="s">
        <v>540</v>
      </c>
      <c r="M257" s="46" t="s">
        <v>22</v>
      </c>
    </row>
    <row r="258" spans="1:13">
      <c r="A258" s="47">
        <v>45511</v>
      </c>
      <c r="B258" s="46" t="s">
        <v>144</v>
      </c>
      <c r="C258" s="46" t="s">
        <v>145</v>
      </c>
      <c r="D258" s="46" t="s">
        <v>146</v>
      </c>
      <c r="E258" s="46" t="s">
        <v>16</v>
      </c>
      <c r="F258" s="46">
        <v>297887</v>
      </c>
      <c r="G258" s="46">
        <v>19916</v>
      </c>
      <c r="H258" s="46">
        <v>3329</v>
      </c>
      <c r="I258" s="46">
        <v>2125</v>
      </c>
      <c r="J258" s="46">
        <v>936</v>
      </c>
      <c r="K258" s="46" t="s">
        <v>541</v>
      </c>
      <c r="L258" s="46" t="s">
        <v>542</v>
      </c>
      <c r="M258" s="46" t="s">
        <v>19</v>
      </c>
    </row>
    <row r="259" spans="1:13">
      <c r="A259" s="47">
        <v>45511</v>
      </c>
      <c r="B259" s="46" t="s">
        <v>516</v>
      </c>
      <c r="C259" s="46" t="s">
        <v>517</v>
      </c>
      <c r="D259" s="46" t="s">
        <v>518</v>
      </c>
      <c r="E259" s="46" t="s">
        <v>16</v>
      </c>
      <c r="F259" s="46">
        <v>54376</v>
      </c>
      <c r="G259" s="46">
        <v>2198</v>
      </c>
      <c r="H259" s="46">
        <v>530</v>
      </c>
      <c r="I259" s="46">
        <v>240</v>
      </c>
      <c r="J259" s="46">
        <v>98</v>
      </c>
      <c r="K259" s="46" t="s">
        <v>543</v>
      </c>
      <c r="L259" s="46" t="s">
        <v>544</v>
      </c>
      <c r="M259" s="46" t="s">
        <v>46</v>
      </c>
    </row>
    <row r="260" spans="1:13">
      <c r="A260" s="47">
        <v>45512</v>
      </c>
      <c r="B260" s="46" t="s">
        <v>144</v>
      </c>
      <c r="C260" s="46" t="s">
        <v>145</v>
      </c>
      <c r="D260" s="46" t="s">
        <v>146</v>
      </c>
      <c r="E260" s="46" t="s">
        <v>16</v>
      </c>
      <c r="F260" s="46">
        <v>88036</v>
      </c>
      <c r="G260" s="46">
        <v>3843</v>
      </c>
      <c r="H260" s="46">
        <v>807</v>
      </c>
      <c r="I260" s="46">
        <v>511</v>
      </c>
      <c r="J260" s="46">
        <v>208</v>
      </c>
      <c r="K260" s="46" t="s">
        <v>545</v>
      </c>
      <c r="L260" s="46" t="s">
        <v>546</v>
      </c>
      <c r="M260" s="46" t="s">
        <v>46</v>
      </c>
    </row>
    <row r="261" spans="1:13">
      <c r="A261" s="47">
        <v>45512</v>
      </c>
      <c r="B261" s="46" t="s">
        <v>516</v>
      </c>
      <c r="C261" s="46" t="s">
        <v>517</v>
      </c>
      <c r="D261" s="46" t="s">
        <v>518</v>
      </c>
      <c r="E261" s="46" t="s">
        <v>16</v>
      </c>
      <c r="F261" s="46">
        <v>276523</v>
      </c>
      <c r="G261" s="46">
        <v>11747</v>
      </c>
      <c r="H261" s="46">
        <v>1913</v>
      </c>
      <c r="I261" s="46">
        <v>1099</v>
      </c>
      <c r="J261" s="46">
        <v>451</v>
      </c>
      <c r="K261" s="46" t="s">
        <v>547</v>
      </c>
      <c r="L261" s="46" t="s">
        <v>548</v>
      </c>
      <c r="M261" s="46" t="s">
        <v>19</v>
      </c>
    </row>
    <row r="262" spans="1:13">
      <c r="A262" s="47">
        <v>45513</v>
      </c>
      <c r="B262" s="46" t="s">
        <v>144</v>
      </c>
      <c r="C262" s="46" t="s">
        <v>145</v>
      </c>
      <c r="D262" s="46" t="s">
        <v>146</v>
      </c>
      <c r="E262" s="46" t="s">
        <v>16</v>
      </c>
      <c r="F262" s="46">
        <v>61270</v>
      </c>
      <c r="G262" s="46">
        <v>3608</v>
      </c>
      <c r="H262" s="46">
        <v>771</v>
      </c>
      <c r="I262" s="46">
        <v>487</v>
      </c>
      <c r="J262" s="46">
        <v>203</v>
      </c>
      <c r="K262" s="46" t="s">
        <v>549</v>
      </c>
      <c r="L262" s="46" t="s">
        <v>550</v>
      </c>
      <c r="M262" s="46" t="s">
        <v>53</v>
      </c>
    </row>
    <row r="263" spans="1:13">
      <c r="A263" s="47">
        <v>45513</v>
      </c>
      <c r="B263" s="46" t="s">
        <v>516</v>
      </c>
      <c r="C263" s="46" t="s">
        <v>517</v>
      </c>
      <c r="D263" s="46" t="s">
        <v>518</v>
      </c>
      <c r="E263" s="46" t="s">
        <v>28</v>
      </c>
      <c r="F263" s="46">
        <v>175935</v>
      </c>
      <c r="G263" s="46">
        <v>8558</v>
      </c>
      <c r="H263" s="46">
        <v>1832</v>
      </c>
      <c r="I263" s="46">
        <v>1035</v>
      </c>
      <c r="J263" s="46">
        <v>601</v>
      </c>
      <c r="K263" s="46" t="s">
        <v>551</v>
      </c>
      <c r="L263" s="46" t="s">
        <v>552</v>
      </c>
      <c r="M263" s="46" t="s">
        <v>35</v>
      </c>
    </row>
    <row r="264" spans="1:13">
      <c r="A264" s="47">
        <v>45514</v>
      </c>
      <c r="B264" s="46" t="s">
        <v>144</v>
      </c>
      <c r="C264" s="46" t="s">
        <v>145</v>
      </c>
      <c r="D264" s="46" t="s">
        <v>146</v>
      </c>
      <c r="E264" s="46" t="s">
        <v>16</v>
      </c>
      <c r="F264" s="46">
        <v>270202</v>
      </c>
      <c r="G264" s="46">
        <v>19267</v>
      </c>
      <c r="H264" s="46">
        <v>3864</v>
      </c>
      <c r="I264" s="46">
        <v>1957</v>
      </c>
      <c r="J264" s="46">
        <v>1169</v>
      </c>
      <c r="K264" s="46" t="s">
        <v>553</v>
      </c>
      <c r="L264" s="46" t="s">
        <v>554</v>
      </c>
      <c r="M264" s="46" t="s">
        <v>46</v>
      </c>
    </row>
    <row r="265" spans="1:13">
      <c r="A265" s="47">
        <v>45514</v>
      </c>
      <c r="B265" s="46" t="s">
        <v>516</v>
      </c>
      <c r="C265" s="46" t="s">
        <v>517</v>
      </c>
      <c r="D265" s="46" t="s">
        <v>518</v>
      </c>
      <c r="E265" s="46" t="s">
        <v>16</v>
      </c>
      <c r="F265" s="46">
        <v>70308</v>
      </c>
      <c r="G265" s="46">
        <v>4870</v>
      </c>
      <c r="H265" s="46">
        <v>930</v>
      </c>
      <c r="I265" s="46">
        <v>492</v>
      </c>
      <c r="J265" s="46">
        <v>251</v>
      </c>
      <c r="K265" s="46" t="s">
        <v>555</v>
      </c>
      <c r="L265" s="46" t="s">
        <v>556</v>
      </c>
      <c r="M265" s="46" t="s">
        <v>53</v>
      </c>
    </row>
    <row r="266" spans="1:13">
      <c r="A266" s="47">
        <v>45515</v>
      </c>
      <c r="B266" s="46" t="s">
        <v>144</v>
      </c>
      <c r="C266" s="46" t="s">
        <v>145</v>
      </c>
      <c r="D266" s="46" t="s">
        <v>146</v>
      </c>
      <c r="E266" s="46" t="s">
        <v>16</v>
      </c>
      <c r="F266" s="46">
        <v>206790</v>
      </c>
      <c r="G266" s="46">
        <v>15329</v>
      </c>
      <c r="H266" s="46">
        <v>3569</v>
      </c>
      <c r="I266" s="46">
        <v>2038</v>
      </c>
      <c r="J266" s="46">
        <v>1076</v>
      </c>
      <c r="K266" s="46" t="s">
        <v>557</v>
      </c>
      <c r="L266" s="46" t="s">
        <v>558</v>
      </c>
      <c r="M266" s="46" t="s">
        <v>53</v>
      </c>
    </row>
    <row r="267" spans="1:13">
      <c r="A267" s="47">
        <v>45515</v>
      </c>
      <c r="B267" s="46" t="s">
        <v>516</v>
      </c>
      <c r="C267" s="46" t="s">
        <v>517</v>
      </c>
      <c r="D267" s="46" t="s">
        <v>518</v>
      </c>
      <c r="E267" s="46" t="s">
        <v>28</v>
      </c>
      <c r="F267" s="46">
        <v>239465</v>
      </c>
      <c r="G267" s="46">
        <v>10006</v>
      </c>
      <c r="H267" s="46">
        <v>1533</v>
      </c>
      <c r="I267" s="46">
        <v>767</v>
      </c>
      <c r="J267" s="46">
        <v>445</v>
      </c>
      <c r="K267" s="46" t="s">
        <v>559</v>
      </c>
      <c r="L267" s="46" t="s">
        <v>560</v>
      </c>
      <c r="M267" s="46" t="s">
        <v>22</v>
      </c>
    </row>
    <row r="268" spans="1:13">
      <c r="A268" s="47">
        <v>45516</v>
      </c>
      <c r="B268" s="46" t="s">
        <v>144</v>
      </c>
      <c r="C268" s="46" t="s">
        <v>145</v>
      </c>
      <c r="D268" s="46" t="s">
        <v>146</v>
      </c>
      <c r="E268" s="46" t="s">
        <v>16</v>
      </c>
      <c r="F268" s="46">
        <v>143259</v>
      </c>
      <c r="G268" s="46">
        <v>4765</v>
      </c>
      <c r="H268" s="46">
        <v>1041</v>
      </c>
      <c r="I268" s="46">
        <v>609</v>
      </c>
      <c r="J268" s="46">
        <v>246</v>
      </c>
      <c r="K268" s="46" t="s">
        <v>561</v>
      </c>
      <c r="L268" s="46" t="s">
        <v>562</v>
      </c>
      <c r="M268" s="46" t="s">
        <v>46</v>
      </c>
    </row>
    <row r="269" spans="1:13">
      <c r="A269" s="47">
        <v>45516</v>
      </c>
      <c r="B269" s="46" t="s">
        <v>516</v>
      </c>
      <c r="C269" s="46" t="s">
        <v>517</v>
      </c>
      <c r="D269" s="46" t="s">
        <v>518</v>
      </c>
      <c r="E269" s="46" t="s">
        <v>28</v>
      </c>
      <c r="F269" s="46">
        <v>60504</v>
      </c>
      <c r="G269" s="46">
        <v>2239</v>
      </c>
      <c r="H269" s="46">
        <v>539</v>
      </c>
      <c r="I269" s="46">
        <v>322</v>
      </c>
      <c r="J269" s="46">
        <v>184</v>
      </c>
      <c r="K269" s="46" t="s">
        <v>563</v>
      </c>
      <c r="L269" s="46" t="s">
        <v>564</v>
      </c>
      <c r="M269" s="46" t="s">
        <v>46</v>
      </c>
    </row>
    <row r="270" spans="1:13">
      <c r="A270" s="47">
        <v>45517</v>
      </c>
      <c r="B270" s="46" t="s">
        <v>144</v>
      </c>
      <c r="C270" s="46" t="s">
        <v>145</v>
      </c>
      <c r="D270" s="46" t="s">
        <v>146</v>
      </c>
      <c r="E270" s="46" t="s">
        <v>16</v>
      </c>
      <c r="F270" s="46">
        <v>203962</v>
      </c>
      <c r="G270" s="46">
        <v>9650</v>
      </c>
      <c r="H270" s="46">
        <v>2394</v>
      </c>
      <c r="I270" s="46">
        <v>1402</v>
      </c>
      <c r="J270" s="46">
        <v>591</v>
      </c>
      <c r="K270" s="46" t="s">
        <v>565</v>
      </c>
      <c r="L270" s="46" t="s">
        <v>566</v>
      </c>
      <c r="M270" s="46" t="s">
        <v>22</v>
      </c>
    </row>
    <row r="271" spans="1:13">
      <c r="A271" s="47">
        <v>45517</v>
      </c>
      <c r="B271" s="46" t="s">
        <v>516</v>
      </c>
      <c r="C271" s="46" t="s">
        <v>517</v>
      </c>
      <c r="D271" s="46" t="s">
        <v>518</v>
      </c>
      <c r="E271" s="46" t="s">
        <v>16</v>
      </c>
      <c r="F271" s="46">
        <v>140195</v>
      </c>
      <c r="G271" s="46">
        <v>9654</v>
      </c>
      <c r="H271" s="46">
        <v>1913</v>
      </c>
      <c r="I271" s="46">
        <v>1044</v>
      </c>
      <c r="J271" s="46">
        <v>524</v>
      </c>
      <c r="K271" s="46" t="s">
        <v>567</v>
      </c>
      <c r="L271" s="46" t="s">
        <v>568</v>
      </c>
      <c r="M271" s="46" t="s">
        <v>19</v>
      </c>
    </row>
    <row r="272" spans="1:13">
      <c r="A272" s="47">
        <v>45518</v>
      </c>
      <c r="B272" s="46" t="s">
        <v>144</v>
      </c>
      <c r="C272" s="46" t="s">
        <v>145</v>
      </c>
      <c r="D272" s="46" t="s">
        <v>146</v>
      </c>
      <c r="E272" s="46" t="s">
        <v>16</v>
      </c>
      <c r="F272" s="46">
        <v>93684</v>
      </c>
      <c r="G272" s="46">
        <v>5805</v>
      </c>
      <c r="H272" s="46">
        <v>1305</v>
      </c>
      <c r="I272" s="46">
        <v>670</v>
      </c>
      <c r="J272" s="46">
        <v>372</v>
      </c>
      <c r="K272" s="46" t="s">
        <v>569</v>
      </c>
      <c r="L272" s="46" t="s">
        <v>570</v>
      </c>
      <c r="M272" s="46" t="s">
        <v>19</v>
      </c>
    </row>
    <row r="273" spans="1:13">
      <c r="A273" s="47">
        <v>45518</v>
      </c>
      <c r="B273" s="46" t="s">
        <v>516</v>
      </c>
      <c r="C273" s="46" t="s">
        <v>517</v>
      </c>
      <c r="D273" s="46" t="s">
        <v>518</v>
      </c>
      <c r="E273" s="46" t="s">
        <v>28</v>
      </c>
      <c r="F273" s="46">
        <v>184290</v>
      </c>
      <c r="G273" s="46">
        <v>10858</v>
      </c>
      <c r="H273" s="46">
        <v>2176</v>
      </c>
      <c r="I273" s="46">
        <v>991</v>
      </c>
      <c r="J273" s="46">
        <v>427</v>
      </c>
      <c r="K273" s="46" t="s">
        <v>571</v>
      </c>
      <c r="L273" s="46" t="s">
        <v>572</v>
      </c>
      <c r="M273" s="46" t="s">
        <v>53</v>
      </c>
    </row>
    <row r="274" spans="1:13">
      <c r="A274" s="47">
        <v>45519</v>
      </c>
      <c r="B274" s="46" t="s">
        <v>144</v>
      </c>
      <c r="C274" s="46" t="s">
        <v>145</v>
      </c>
      <c r="D274" s="46" t="s">
        <v>146</v>
      </c>
      <c r="E274" s="46" t="s">
        <v>16</v>
      </c>
      <c r="F274" s="46">
        <v>246897</v>
      </c>
      <c r="G274" s="46">
        <v>8565</v>
      </c>
      <c r="H274" s="46">
        <v>2017</v>
      </c>
      <c r="I274" s="46">
        <v>1112</v>
      </c>
      <c r="J274" s="46">
        <v>614</v>
      </c>
      <c r="K274" s="46" t="s">
        <v>573</v>
      </c>
      <c r="L274" s="46" t="s">
        <v>574</v>
      </c>
      <c r="M274" s="46" t="s">
        <v>22</v>
      </c>
    </row>
    <row r="275" spans="1:13">
      <c r="A275" s="47">
        <v>45519</v>
      </c>
      <c r="B275" s="46" t="s">
        <v>516</v>
      </c>
      <c r="C275" s="46" t="s">
        <v>517</v>
      </c>
      <c r="D275" s="46" t="s">
        <v>518</v>
      </c>
      <c r="E275" s="46" t="s">
        <v>16</v>
      </c>
      <c r="F275" s="46">
        <v>75772</v>
      </c>
      <c r="G275" s="46">
        <v>2986</v>
      </c>
      <c r="H275" s="46">
        <v>585</v>
      </c>
      <c r="I275" s="46">
        <v>343</v>
      </c>
      <c r="J275" s="46">
        <v>194</v>
      </c>
      <c r="K275" s="46" t="s">
        <v>575</v>
      </c>
      <c r="L275" s="46" t="s">
        <v>576</v>
      </c>
      <c r="M275" s="46" t="s">
        <v>22</v>
      </c>
    </row>
    <row r="276" spans="1:13">
      <c r="A276" s="47">
        <v>45520</v>
      </c>
      <c r="B276" s="46" t="s">
        <v>144</v>
      </c>
      <c r="C276" s="46" t="s">
        <v>145</v>
      </c>
      <c r="D276" s="46" t="s">
        <v>146</v>
      </c>
      <c r="E276" s="46" t="s">
        <v>16</v>
      </c>
      <c r="F276" s="46">
        <v>259857</v>
      </c>
      <c r="G276" s="46">
        <v>18951</v>
      </c>
      <c r="H276" s="46">
        <v>3776</v>
      </c>
      <c r="I276" s="46">
        <v>2370</v>
      </c>
      <c r="J276" s="46">
        <v>1066</v>
      </c>
      <c r="K276" s="46" t="s">
        <v>577</v>
      </c>
      <c r="L276" s="46" t="s">
        <v>578</v>
      </c>
      <c r="M276" s="46" t="s">
        <v>22</v>
      </c>
    </row>
    <row r="277" spans="1:13">
      <c r="A277" s="47">
        <v>45520</v>
      </c>
      <c r="B277" s="46" t="s">
        <v>516</v>
      </c>
      <c r="C277" s="46" t="s">
        <v>517</v>
      </c>
      <c r="D277" s="46" t="s">
        <v>518</v>
      </c>
      <c r="E277" s="46" t="s">
        <v>28</v>
      </c>
      <c r="F277" s="46">
        <v>147185</v>
      </c>
      <c r="G277" s="46">
        <v>8624</v>
      </c>
      <c r="H277" s="46">
        <v>2052</v>
      </c>
      <c r="I277" s="46">
        <v>1243</v>
      </c>
      <c r="J277" s="46">
        <v>630</v>
      </c>
      <c r="K277" s="46" t="s">
        <v>579</v>
      </c>
      <c r="L277" s="46" t="s">
        <v>580</v>
      </c>
      <c r="M277" s="46" t="s">
        <v>19</v>
      </c>
    </row>
    <row r="278" spans="1:13">
      <c r="A278" s="47">
        <v>45521</v>
      </c>
      <c r="B278" s="46" t="s">
        <v>144</v>
      </c>
      <c r="C278" s="46" t="s">
        <v>145</v>
      </c>
      <c r="D278" s="46" t="s">
        <v>146</v>
      </c>
      <c r="E278" s="46" t="s">
        <v>16</v>
      </c>
      <c r="F278" s="46">
        <v>160425</v>
      </c>
      <c r="G278" s="46">
        <v>11372</v>
      </c>
      <c r="H278" s="46">
        <v>2306</v>
      </c>
      <c r="I278" s="46">
        <v>1230</v>
      </c>
      <c r="J278" s="46">
        <v>588</v>
      </c>
      <c r="K278" s="46" t="s">
        <v>581</v>
      </c>
      <c r="L278" s="46" t="s">
        <v>582</v>
      </c>
      <c r="M278" s="46" t="s">
        <v>22</v>
      </c>
    </row>
    <row r="279" spans="1:13">
      <c r="A279" s="47">
        <v>45521</v>
      </c>
      <c r="B279" s="46" t="s">
        <v>516</v>
      </c>
      <c r="C279" s="46" t="s">
        <v>517</v>
      </c>
      <c r="D279" s="46" t="s">
        <v>518</v>
      </c>
      <c r="E279" s="46" t="s">
        <v>25</v>
      </c>
      <c r="F279" s="46">
        <v>196487</v>
      </c>
      <c r="G279" s="46">
        <v>8699</v>
      </c>
      <c r="H279" s="46">
        <v>1691</v>
      </c>
      <c r="I279" s="46">
        <v>1051</v>
      </c>
      <c r="J279" s="46">
        <v>613</v>
      </c>
      <c r="K279" s="46" t="s">
        <v>583</v>
      </c>
      <c r="L279" s="46" t="s">
        <v>584</v>
      </c>
      <c r="M279" s="46" t="s">
        <v>53</v>
      </c>
    </row>
    <row r="280" spans="1:13">
      <c r="A280" s="47">
        <v>45522</v>
      </c>
      <c r="B280" s="46" t="s">
        <v>144</v>
      </c>
      <c r="C280" s="46" t="s">
        <v>145</v>
      </c>
      <c r="D280" s="46" t="s">
        <v>146</v>
      </c>
      <c r="E280" s="46" t="s">
        <v>16</v>
      </c>
      <c r="F280" s="46">
        <v>136692</v>
      </c>
      <c r="G280" s="46">
        <v>7477</v>
      </c>
      <c r="H280" s="46">
        <v>1371</v>
      </c>
      <c r="I280" s="46">
        <v>764</v>
      </c>
      <c r="J280" s="46">
        <v>442</v>
      </c>
      <c r="K280" s="46" t="s">
        <v>585</v>
      </c>
      <c r="L280" s="46" t="s">
        <v>586</v>
      </c>
      <c r="M280" s="46" t="s">
        <v>19</v>
      </c>
    </row>
    <row r="281" spans="1:13">
      <c r="A281" s="47">
        <v>45522</v>
      </c>
      <c r="B281" s="46" t="s">
        <v>516</v>
      </c>
      <c r="C281" s="46" t="s">
        <v>517</v>
      </c>
      <c r="D281" s="46" t="s">
        <v>518</v>
      </c>
      <c r="E281" s="46" t="s">
        <v>28</v>
      </c>
      <c r="F281" s="46">
        <v>254671</v>
      </c>
      <c r="G281" s="46">
        <v>15131</v>
      </c>
      <c r="H281" s="46">
        <v>3100</v>
      </c>
      <c r="I281" s="46">
        <v>1454</v>
      </c>
      <c r="J281" s="46">
        <v>638</v>
      </c>
      <c r="K281" s="46" t="s">
        <v>587</v>
      </c>
      <c r="L281" s="46" t="s">
        <v>588</v>
      </c>
      <c r="M281" s="46" t="s">
        <v>19</v>
      </c>
    </row>
    <row r="282" spans="1:13">
      <c r="A282" s="47">
        <v>45523</v>
      </c>
      <c r="B282" s="46" t="s">
        <v>144</v>
      </c>
      <c r="C282" s="46" t="s">
        <v>145</v>
      </c>
      <c r="D282" s="46" t="s">
        <v>146</v>
      </c>
      <c r="E282" s="46" t="s">
        <v>16</v>
      </c>
      <c r="F282" s="46">
        <v>167681</v>
      </c>
      <c r="G282" s="46">
        <v>13225</v>
      </c>
      <c r="H282" s="46">
        <v>2990</v>
      </c>
      <c r="I282" s="46">
        <v>1842</v>
      </c>
      <c r="J282" s="46">
        <v>894</v>
      </c>
      <c r="K282" s="46" t="s">
        <v>589</v>
      </c>
      <c r="L282" s="46" t="s">
        <v>590</v>
      </c>
      <c r="M282" s="46" t="s">
        <v>22</v>
      </c>
    </row>
    <row r="283" spans="1:13">
      <c r="A283" s="47">
        <v>45523</v>
      </c>
      <c r="B283" s="46" t="s">
        <v>516</v>
      </c>
      <c r="C283" s="46" t="s">
        <v>517</v>
      </c>
      <c r="D283" s="46" t="s">
        <v>518</v>
      </c>
      <c r="E283" s="46" t="s">
        <v>16</v>
      </c>
      <c r="F283" s="46">
        <v>150411</v>
      </c>
      <c r="G283" s="46">
        <v>8934</v>
      </c>
      <c r="H283" s="46">
        <v>1854</v>
      </c>
      <c r="I283" s="46">
        <v>1043</v>
      </c>
      <c r="J283" s="46">
        <v>438</v>
      </c>
      <c r="K283" s="46" t="s">
        <v>591</v>
      </c>
      <c r="L283" s="46" t="s">
        <v>592</v>
      </c>
      <c r="M283" s="46" t="s">
        <v>35</v>
      </c>
    </row>
    <row r="284" spans="1:13">
      <c r="A284" s="47">
        <v>45524</v>
      </c>
      <c r="B284" s="46" t="s">
        <v>144</v>
      </c>
      <c r="C284" s="46" t="s">
        <v>145</v>
      </c>
      <c r="D284" s="46" t="s">
        <v>146</v>
      </c>
      <c r="E284" s="46" t="s">
        <v>16</v>
      </c>
      <c r="F284" s="46">
        <v>50916</v>
      </c>
      <c r="G284" s="46">
        <v>2686</v>
      </c>
      <c r="H284" s="46">
        <v>642</v>
      </c>
      <c r="I284" s="46">
        <v>387</v>
      </c>
      <c r="J284" s="46">
        <v>160</v>
      </c>
      <c r="K284" s="46" t="s">
        <v>593</v>
      </c>
      <c r="L284" s="46" t="s">
        <v>594</v>
      </c>
      <c r="M284" s="46" t="s">
        <v>22</v>
      </c>
    </row>
    <row r="285" spans="1:13">
      <c r="A285" s="47">
        <v>45524</v>
      </c>
      <c r="B285" s="46" t="s">
        <v>516</v>
      </c>
      <c r="C285" s="46" t="s">
        <v>517</v>
      </c>
      <c r="D285" s="46" t="s">
        <v>518</v>
      </c>
      <c r="E285" s="46" t="s">
        <v>25</v>
      </c>
      <c r="F285" s="46">
        <v>266600</v>
      </c>
      <c r="G285" s="46">
        <v>18274</v>
      </c>
      <c r="H285" s="46">
        <v>4074</v>
      </c>
      <c r="I285" s="46">
        <v>2224</v>
      </c>
      <c r="J285" s="46">
        <v>907</v>
      </c>
      <c r="K285" s="46" t="s">
        <v>595</v>
      </c>
      <c r="L285" s="46" t="s">
        <v>596</v>
      </c>
      <c r="M285" s="46" t="s">
        <v>53</v>
      </c>
    </row>
    <row r="286" spans="1:13">
      <c r="A286" s="47">
        <v>45525</v>
      </c>
      <c r="B286" s="46" t="s">
        <v>144</v>
      </c>
      <c r="C286" s="46" t="s">
        <v>145</v>
      </c>
      <c r="D286" s="46" t="s">
        <v>146</v>
      </c>
      <c r="E286" s="46" t="s">
        <v>16</v>
      </c>
      <c r="F286" s="46">
        <v>246115</v>
      </c>
      <c r="G286" s="46">
        <v>17238</v>
      </c>
      <c r="H286" s="46">
        <v>2715</v>
      </c>
      <c r="I286" s="46">
        <v>1569</v>
      </c>
      <c r="J286" s="46">
        <v>816</v>
      </c>
      <c r="K286" s="46" t="s">
        <v>597</v>
      </c>
      <c r="L286" s="46" t="s">
        <v>598</v>
      </c>
      <c r="M286" s="46" t="s">
        <v>35</v>
      </c>
    </row>
    <row r="287" spans="1:13">
      <c r="A287" s="47">
        <v>45525</v>
      </c>
      <c r="B287" s="46" t="s">
        <v>516</v>
      </c>
      <c r="C287" s="46" t="s">
        <v>517</v>
      </c>
      <c r="D287" s="46" t="s">
        <v>518</v>
      </c>
      <c r="E287" s="46" t="s">
        <v>16</v>
      </c>
      <c r="F287" s="46">
        <v>286047</v>
      </c>
      <c r="G287" s="46">
        <v>14611</v>
      </c>
      <c r="H287" s="46">
        <v>3332</v>
      </c>
      <c r="I287" s="46">
        <v>1656</v>
      </c>
      <c r="J287" s="46">
        <v>978</v>
      </c>
      <c r="K287" s="46" t="s">
        <v>599</v>
      </c>
      <c r="L287" s="46" t="s">
        <v>600</v>
      </c>
      <c r="M287" s="46" t="s">
        <v>22</v>
      </c>
    </row>
    <row r="288" spans="1:13">
      <c r="A288" s="47">
        <v>45526</v>
      </c>
      <c r="B288" s="46" t="s">
        <v>144</v>
      </c>
      <c r="C288" s="46" t="s">
        <v>145</v>
      </c>
      <c r="D288" s="46" t="s">
        <v>146</v>
      </c>
      <c r="E288" s="46" t="s">
        <v>16</v>
      </c>
      <c r="F288" s="46">
        <v>55434</v>
      </c>
      <c r="G288" s="46">
        <v>3340</v>
      </c>
      <c r="H288" s="46">
        <v>628</v>
      </c>
      <c r="I288" s="46">
        <v>299</v>
      </c>
      <c r="J288" s="46">
        <v>157</v>
      </c>
      <c r="K288" s="46" t="s">
        <v>601</v>
      </c>
      <c r="L288" s="46" t="s">
        <v>602</v>
      </c>
      <c r="M288" s="46" t="s">
        <v>46</v>
      </c>
    </row>
    <row r="289" spans="1:13">
      <c r="A289" s="47">
        <v>45526</v>
      </c>
      <c r="B289" s="46" t="s">
        <v>516</v>
      </c>
      <c r="C289" s="46" t="s">
        <v>517</v>
      </c>
      <c r="D289" s="46" t="s">
        <v>518</v>
      </c>
      <c r="E289" s="46" t="s">
        <v>16</v>
      </c>
      <c r="F289" s="46">
        <v>138420</v>
      </c>
      <c r="G289" s="46">
        <v>9190</v>
      </c>
      <c r="H289" s="46">
        <v>1758</v>
      </c>
      <c r="I289" s="46">
        <v>895</v>
      </c>
      <c r="J289" s="46">
        <v>476</v>
      </c>
      <c r="K289" s="46" t="s">
        <v>603</v>
      </c>
      <c r="L289" s="46" t="s">
        <v>604</v>
      </c>
      <c r="M289" s="46" t="s">
        <v>53</v>
      </c>
    </row>
    <row r="290" spans="1:13">
      <c r="A290" s="47">
        <v>45527</v>
      </c>
      <c r="B290" s="46" t="s">
        <v>144</v>
      </c>
      <c r="C290" s="46" t="s">
        <v>145</v>
      </c>
      <c r="D290" s="46" t="s">
        <v>146</v>
      </c>
      <c r="E290" s="46" t="s">
        <v>16</v>
      </c>
      <c r="F290" s="46">
        <v>212121</v>
      </c>
      <c r="G290" s="46">
        <v>8521</v>
      </c>
      <c r="H290" s="46">
        <v>1831</v>
      </c>
      <c r="I290" s="46">
        <v>1065</v>
      </c>
      <c r="J290" s="46">
        <v>523</v>
      </c>
      <c r="K290" s="46" t="s">
        <v>605</v>
      </c>
      <c r="L290" s="46" t="s">
        <v>606</v>
      </c>
      <c r="M290" s="46" t="s">
        <v>53</v>
      </c>
    </row>
    <row r="291" spans="1:13">
      <c r="A291" s="47">
        <v>45527</v>
      </c>
      <c r="B291" s="46" t="s">
        <v>516</v>
      </c>
      <c r="C291" s="46" t="s">
        <v>517</v>
      </c>
      <c r="D291" s="46" t="s">
        <v>518</v>
      </c>
      <c r="E291" s="46" t="s">
        <v>25</v>
      </c>
      <c r="F291" s="46">
        <v>174155</v>
      </c>
      <c r="G291" s="46">
        <v>7729</v>
      </c>
      <c r="H291" s="46">
        <v>1269</v>
      </c>
      <c r="I291" s="46">
        <v>726</v>
      </c>
      <c r="J291" s="46">
        <v>423</v>
      </c>
      <c r="K291" s="46" t="s">
        <v>607</v>
      </c>
      <c r="L291" s="46" t="s">
        <v>608</v>
      </c>
      <c r="M291" s="46" t="s">
        <v>53</v>
      </c>
    </row>
    <row r="292" spans="1:13">
      <c r="A292" s="47">
        <v>45528</v>
      </c>
      <c r="B292" s="46" t="s">
        <v>144</v>
      </c>
      <c r="C292" s="46" t="s">
        <v>145</v>
      </c>
      <c r="D292" s="46" t="s">
        <v>146</v>
      </c>
      <c r="E292" s="46" t="s">
        <v>16</v>
      </c>
      <c r="F292" s="46">
        <v>298055</v>
      </c>
      <c r="G292" s="46">
        <v>23238</v>
      </c>
      <c r="H292" s="46">
        <v>3774</v>
      </c>
      <c r="I292" s="46">
        <v>2035</v>
      </c>
      <c r="J292" s="46">
        <v>1015</v>
      </c>
      <c r="K292" s="46" t="s">
        <v>609</v>
      </c>
      <c r="L292" s="46" t="s">
        <v>610</v>
      </c>
      <c r="M292" s="46" t="s">
        <v>19</v>
      </c>
    </row>
    <row r="293" spans="1:13">
      <c r="A293" s="47">
        <v>45528</v>
      </c>
      <c r="B293" s="46" t="s">
        <v>516</v>
      </c>
      <c r="C293" s="46" t="s">
        <v>517</v>
      </c>
      <c r="D293" s="46" t="s">
        <v>518</v>
      </c>
      <c r="E293" s="46" t="s">
        <v>16</v>
      </c>
      <c r="F293" s="46">
        <v>73433</v>
      </c>
      <c r="G293" s="46">
        <v>3246</v>
      </c>
      <c r="H293" s="46">
        <v>574</v>
      </c>
      <c r="I293" s="46">
        <v>335</v>
      </c>
      <c r="J293" s="46">
        <v>163</v>
      </c>
      <c r="K293" s="46" t="s">
        <v>611</v>
      </c>
      <c r="L293" s="46" t="s">
        <v>612</v>
      </c>
      <c r="M293" s="46" t="s">
        <v>46</v>
      </c>
    </row>
    <row r="294" spans="1:13">
      <c r="A294" s="47">
        <v>45529</v>
      </c>
      <c r="B294" s="46" t="s">
        <v>144</v>
      </c>
      <c r="C294" s="46" t="s">
        <v>145</v>
      </c>
      <c r="D294" s="46" t="s">
        <v>146</v>
      </c>
      <c r="E294" s="46" t="s">
        <v>16</v>
      </c>
      <c r="F294" s="46">
        <v>273318</v>
      </c>
      <c r="G294" s="46">
        <v>12830</v>
      </c>
      <c r="H294" s="46">
        <v>2725</v>
      </c>
      <c r="I294" s="46">
        <v>1477</v>
      </c>
      <c r="J294" s="46">
        <v>719</v>
      </c>
      <c r="K294" s="46" t="s">
        <v>613</v>
      </c>
      <c r="L294" s="46" t="s">
        <v>614</v>
      </c>
      <c r="M294" s="46" t="s">
        <v>19</v>
      </c>
    </row>
    <row r="295" spans="1:13">
      <c r="A295" s="47">
        <v>45529</v>
      </c>
      <c r="B295" s="46" t="s">
        <v>516</v>
      </c>
      <c r="C295" s="46" t="s">
        <v>517</v>
      </c>
      <c r="D295" s="46" t="s">
        <v>518</v>
      </c>
      <c r="E295" s="46" t="s">
        <v>16</v>
      </c>
      <c r="F295" s="46">
        <v>190927</v>
      </c>
      <c r="G295" s="46">
        <v>8324</v>
      </c>
      <c r="H295" s="46">
        <v>1746</v>
      </c>
      <c r="I295" s="46">
        <v>1040</v>
      </c>
      <c r="J295" s="46">
        <v>502</v>
      </c>
      <c r="K295" s="46" t="s">
        <v>615</v>
      </c>
      <c r="L295" s="46" t="s">
        <v>616</v>
      </c>
      <c r="M295" s="46" t="s">
        <v>19</v>
      </c>
    </row>
    <row r="296" spans="1:13">
      <c r="A296" s="47">
        <v>45530</v>
      </c>
      <c r="B296" s="46" t="s">
        <v>144</v>
      </c>
      <c r="C296" s="46" t="s">
        <v>145</v>
      </c>
      <c r="D296" s="46" t="s">
        <v>146</v>
      </c>
      <c r="E296" s="46" t="s">
        <v>16</v>
      </c>
      <c r="F296" s="46">
        <v>280548</v>
      </c>
      <c r="G296" s="46">
        <v>22400</v>
      </c>
      <c r="H296" s="46">
        <v>3381</v>
      </c>
      <c r="I296" s="46">
        <v>2001</v>
      </c>
      <c r="J296" s="46">
        <v>1115</v>
      </c>
      <c r="K296" s="46" t="s">
        <v>617</v>
      </c>
      <c r="L296" s="46" t="s">
        <v>618</v>
      </c>
      <c r="M296" s="46" t="s">
        <v>46</v>
      </c>
    </row>
    <row r="297" spans="1:13">
      <c r="A297" s="47">
        <v>45530</v>
      </c>
      <c r="B297" s="46" t="s">
        <v>516</v>
      </c>
      <c r="C297" s="46" t="s">
        <v>517</v>
      </c>
      <c r="D297" s="46" t="s">
        <v>518</v>
      </c>
      <c r="E297" s="46" t="s">
        <v>16</v>
      </c>
      <c r="F297" s="46">
        <v>285397</v>
      </c>
      <c r="G297" s="46">
        <v>15333</v>
      </c>
      <c r="H297" s="46">
        <v>2569</v>
      </c>
      <c r="I297" s="46">
        <v>1619</v>
      </c>
      <c r="J297" s="46">
        <v>881</v>
      </c>
      <c r="K297" s="46" t="s">
        <v>619</v>
      </c>
      <c r="L297" s="46" t="s">
        <v>620</v>
      </c>
      <c r="M297" s="46" t="s">
        <v>46</v>
      </c>
    </row>
    <row r="298" spans="1:13">
      <c r="A298" s="47">
        <v>45531</v>
      </c>
      <c r="B298" s="46" t="s">
        <v>144</v>
      </c>
      <c r="C298" s="46" t="s">
        <v>145</v>
      </c>
      <c r="D298" s="46" t="s">
        <v>146</v>
      </c>
      <c r="E298" s="46" t="s">
        <v>16</v>
      </c>
      <c r="F298" s="46">
        <v>230587</v>
      </c>
      <c r="G298" s="46">
        <v>11780</v>
      </c>
      <c r="H298" s="46">
        <v>2103</v>
      </c>
      <c r="I298" s="46">
        <v>985</v>
      </c>
      <c r="J298" s="46">
        <v>557</v>
      </c>
      <c r="K298" s="46" t="s">
        <v>621</v>
      </c>
      <c r="L298" s="46" t="s">
        <v>622</v>
      </c>
      <c r="M298" s="46" t="s">
        <v>22</v>
      </c>
    </row>
    <row r="299" spans="1:13">
      <c r="A299" s="47">
        <v>45531</v>
      </c>
      <c r="B299" s="46" t="s">
        <v>516</v>
      </c>
      <c r="C299" s="46" t="s">
        <v>517</v>
      </c>
      <c r="D299" s="46" t="s">
        <v>518</v>
      </c>
      <c r="E299" s="46" t="s">
        <v>25</v>
      </c>
      <c r="F299" s="46">
        <v>239102</v>
      </c>
      <c r="G299" s="46">
        <v>11777</v>
      </c>
      <c r="H299" s="46">
        <v>2683</v>
      </c>
      <c r="I299" s="46">
        <v>1443</v>
      </c>
      <c r="J299" s="46">
        <v>793</v>
      </c>
      <c r="K299" s="46" t="s">
        <v>623</v>
      </c>
      <c r="L299" s="46" t="s">
        <v>624</v>
      </c>
      <c r="M299" s="46" t="s">
        <v>53</v>
      </c>
    </row>
    <row r="300" spans="1:13">
      <c r="A300" s="47">
        <v>45532</v>
      </c>
      <c r="B300" s="46" t="s">
        <v>144</v>
      </c>
      <c r="C300" s="46" t="s">
        <v>145</v>
      </c>
      <c r="D300" s="46" t="s">
        <v>146</v>
      </c>
      <c r="E300" s="46" t="s">
        <v>16</v>
      </c>
      <c r="F300" s="46">
        <v>122769</v>
      </c>
      <c r="G300" s="46">
        <v>4992</v>
      </c>
      <c r="H300" s="46">
        <v>1154</v>
      </c>
      <c r="I300" s="46">
        <v>639</v>
      </c>
      <c r="J300" s="46">
        <v>335</v>
      </c>
      <c r="K300" s="46" t="s">
        <v>625</v>
      </c>
      <c r="L300" s="46" t="s">
        <v>626</v>
      </c>
      <c r="M300" s="46" t="s">
        <v>35</v>
      </c>
    </row>
    <row r="301" spans="1:13">
      <c r="A301" s="47">
        <v>45532</v>
      </c>
      <c r="B301" s="46" t="s">
        <v>516</v>
      </c>
      <c r="C301" s="46" t="s">
        <v>517</v>
      </c>
      <c r="D301" s="46" t="s">
        <v>518</v>
      </c>
      <c r="E301" s="46" t="s">
        <v>28</v>
      </c>
      <c r="F301" s="46">
        <v>118445</v>
      </c>
      <c r="G301" s="46">
        <v>9312</v>
      </c>
      <c r="H301" s="46">
        <v>1796</v>
      </c>
      <c r="I301" s="46">
        <v>862</v>
      </c>
      <c r="J301" s="46">
        <v>394</v>
      </c>
      <c r="K301" s="46" t="s">
        <v>627</v>
      </c>
      <c r="L301" s="46" t="s">
        <v>628</v>
      </c>
      <c r="M301" s="46" t="s">
        <v>46</v>
      </c>
    </row>
    <row r="302" spans="1:13">
      <c r="A302" s="47">
        <v>45533</v>
      </c>
      <c r="B302" s="46" t="s">
        <v>144</v>
      </c>
      <c r="C302" s="46" t="s">
        <v>145</v>
      </c>
      <c r="D302" s="46" t="s">
        <v>146</v>
      </c>
      <c r="E302" s="46" t="s">
        <v>16</v>
      </c>
      <c r="F302" s="46">
        <v>176924</v>
      </c>
      <c r="G302" s="46">
        <v>6002</v>
      </c>
      <c r="H302" s="46">
        <v>1405</v>
      </c>
      <c r="I302" s="46">
        <v>726</v>
      </c>
      <c r="J302" s="46">
        <v>305</v>
      </c>
      <c r="K302" s="46" t="s">
        <v>629</v>
      </c>
      <c r="L302" s="46" t="s">
        <v>630</v>
      </c>
      <c r="M302" s="46" t="s">
        <v>46</v>
      </c>
    </row>
    <row r="303" spans="1:13">
      <c r="A303" s="47">
        <v>45533</v>
      </c>
      <c r="B303" s="46" t="s">
        <v>516</v>
      </c>
      <c r="C303" s="46" t="s">
        <v>517</v>
      </c>
      <c r="D303" s="46" t="s">
        <v>518</v>
      </c>
      <c r="E303" s="46" t="s">
        <v>16</v>
      </c>
      <c r="F303" s="46">
        <v>141835</v>
      </c>
      <c r="G303" s="46">
        <v>4781</v>
      </c>
      <c r="H303" s="46">
        <v>815</v>
      </c>
      <c r="I303" s="46">
        <v>412</v>
      </c>
      <c r="J303" s="46">
        <v>201</v>
      </c>
      <c r="K303" s="46" t="s">
        <v>631</v>
      </c>
      <c r="L303" s="46" t="s">
        <v>632</v>
      </c>
      <c r="M303" s="46" t="s">
        <v>35</v>
      </c>
    </row>
    <row r="304" spans="1:13">
      <c r="A304" s="47">
        <v>45534</v>
      </c>
      <c r="B304" s="46" t="s">
        <v>144</v>
      </c>
      <c r="C304" s="46" t="s">
        <v>145</v>
      </c>
      <c r="D304" s="46" t="s">
        <v>146</v>
      </c>
      <c r="E304" s="46" t="s">
        <v>16</v>
      </c>
      <c r="F304" s="46">
        <v>89353</v>
      </c>
      <c r="G304" s="46">
        <v>3461</v>
      </c>
      <c r="H304" s="46">
        <v>777</v>
      </c>
      <c r="I304" s="46">
        <v>423</v>
      </c>
      <c r="J304" s="46">
        <v>218</v>
      </c>
      <c r="K304" s="46" t="s">
        <v>633</v>
      </c>
      <c r="L304" s="46" t="s">
        <v>634</v>
      </c>
      <c r="M304" s="46" t="s">
        <v>35</v>
      </c>
    </row>
    <row r="305" spans="1:13">
      <c r="A305" s="47">
        <v>45534</v>
      </c>
      <c r="B305" s="46" t="s">
        <v>516</v>
      </c>
      <c r="C305" s="46" t="s">
        <v>517</v>
      </c>
      <c r="D305" s="46" t="s">
        <v>518</v>
      </c>
      <c r="E305" s="46" t="s">
        <v>28</v>
      </c>
      <c r="F305" s="46">
        <v>172603</v>
      </c>
      <c r="G305" s="46">
        <v>13771</v>
      </c>
      <c r="H305" s="46">
        <v>3131</v>
      </c>
      <c r="I305" s="46">
        <v>1756</v>
      </c>
      <c r="J305" s="46">
        <v>957</v>
      </c>
      <c r="K305" s="46" t="s">
        <v>635</v>
      </c>
      <c r="L305" s="46" t="s">
        <v>636</v>
      </c>
      <c r="M305" s="46" t="s">
        <v>19</v>
      </c>
    </row>
    <row r="306" spans="1:13">
      <c r="A306" s="47">
        <v>45535</v>
      </c>
      <c r="B306" s="46" t="s">
        <v>144</v>
      </c>
      <c r="C306" s="46" t="s">
        <v>145</v>
      </c>
      <c r="D306" s="46" t="s">
        <v>146</v>
      </c>
      <c r="E306" s="46" t="s">
        <v>16</v>
      </c>
      <c r="F306" s="46">
        <v>275170</v>
      </c>
      <c r="G306" s="46">
        <v>8309</v>
      </c>
      <c r="H306" s="46">
        <v>2008</v>
      </c>
      <c r="I306" s="46">
        <v>1217</v>
      </c>
      <c r="J306" s="46">
        <v>654</v>
      </c>
      <c r="K306" s="46" t="s">
        <v>637</v>
      </c>
      <c r="L306" s="46" t="s">
        <v>638</v>
      </c>
      <c r="M306" s="46" t="s">
        <v>22</v>
      </c>
    </row>
    <row r="307" spans="1:13">
      <c r="A307" s="47">
        <v>45535</v>
      </c>
      <c r="B307" s="46" t="s">
        <v>516</v>
      </c>
      <c r="C307" s="46" t="s">
        <v>517</v>
      </c>
      <c r="D307" s="46" t="s">
        <v>518</v>
      </c>
      <c r="E307" s="46" t="s">
        <v>28</v>
      </c>
      <c r="F307" s="46">
        <v>188007</v>
      </c>
      <c r="G307" s="46">
        <v>12565</v>
      </c>
      <c r="H307" s="46">
        <v>2831</v>
      </c>
      <c r="I307" s="46">
        <v>1364</v>
      </c>
      <c r="J307" s="46">
        <v>556</v>
      </c>
      <c r="K307" s="46" t="s">
        <v>639</v>
      </c>
      <c r="L307" s="46" t="s">
        <v>640</v>
      </c>
      <c r="M307" s="46" t="s">
        <v>22</v>
      </c>
    </row>
    <row r="308" spans="1:13">
      <c r="A308" s="47">
        <v>45536</v>
      </c>
      <c r="B308" s="46" t="s">
        <v>516</v>
      </c>
      <c r="C308" s="46" t="s">
        <v>517</v>
      </c>
      <c r="D308" s="46" t="s">
        <v>518</v>
      </c>
      <c r="E308" s="46" t="s">
        <v>28</v>
      </c>
      <c r="F308" s="46">
        <v>277995</v>
      </c>
      <c r="G308" s="46">
        <v>17323</v>
      </c>
      <c r="H308" s="46">
        <v>3307</v>
      </c>
      <c r="I308" s="46">
        <v>1962</v>
      </c>
      <c r="J308" s="46">
        <v>807</v>
      </c>
      <c r="K308" s="46" t="s">
        <v>641</v>
      </c>
      <c r="L308" s="46" t="s">
        <v>642</v>
      </c>
      <c r="M308" s="46" t="s">
        <v>35</v>
      </c>
    </row>
    <row r="309" spans="1:13">
      <c r="A309" s="47">
        <v>45537</v>
      </c>
      <c r="B309" s="46" t="s">
        <v>516</v>
      </c>
      <c r="C309" s="46" t="s">
        <v>517</v>
      </c>
      <c r="D309" s="46" t="s">
        <v>518</v>
      </c>
      <c r="E309" s="46" t="s">
        <v>16</v>
      </c>
      <c r="F309" s="46">
        <v>204641</v>
      </c>
      <c r="G309" s="46">
        <v>14981</v>
      </c>
      <c r="H309" s="46">
        <v>3396</v>
      </c>
      <c r="I309" s="46">
        <v>1681</v>
      </c>
      <c r="J309" s="46">
        <v>682</v>
      </c>
      <c r="K309" s="46" t="s">
        <v>643</v>
      </c>
      <c r="L309" s="46" t="s">
        <v>644</v>
      </c>
      <c r="M309" s="46" t="s">
        <v>46</v>
      </c>
    </row>
    <row r="310" spans="1:13">
      <c r="A310" s="47">
        <v>45538</v>
      </c>
      <c r="B310" s="46" t="s">
        <v>516</v>
      </c>
      <c r="C310" s="46" t="s">
        <v>517</v>
      </c>
      <c r="D310" s="46" t="s">
        <v>518</v>
      </c>
      <c r="E310" s="46" t="s">
        <v>25</v>
      </c>
      <c r="F310" s="46">
        <v>80461</v>
      </c>
      <c r="G310" s="46">
        <v>5310</v>
      </c>
      <c r="H310" s="46">
        <v>1043</v>
      </c>
      <c r="I310" s="46">
        <v>626</v>
      </c>
      <c r="J310" s="46">
        <v>251</v>
      </c>
      <c r="K310" s="46" t="s">
        <v>645</v>
      </c>
      <c r="L310" s="46" t="s">
        <v>646</v>
      </c>
      <c r="M310" s="46" t="s">
        <v>35</v>
      </c>
    </row>
    <row r="311" spans="1:13">
      <c r="A311" s="47">
        <v>45539</v>
      </c>
      <c r="B311" s="46" t="s">
        <v>516</v>
      </c>
      <c r="C311" s="46" t="s">
        <v>517</v>
      </c>
      <c r="D311" s="46" t="s">
        <v>518</v>
      </c>
      <c r="E311" s="46" t="s">
        <v>16</v>
      </c>
      <c r="F311" s="46">
        <v>225116</v>
      </c>
      <c r="G311" s="46">
        <v>11836</v>
      </c>
      <c r="H311" s="46">
        <v>2871</v>
      </c>
      <c r="I311" s="46">
        <v>1828</v>
      </c>
      <c r="J311" s="46">
        <v>993</v>
      </c>
      <c r="K311" s="46" t="s">
        <v>647</v>
      </c>
      <c r="L311" s="46" t="s">
        <v>648</v>
      </c>
      <c r="M311" s="46" t="s">
        <v>53</v>
      </c>
    </row>
    <row r="312" spans="1:13">
      <c r="A312" s="47">
        <v>45540</v>
      </c>
      <c r="B312" s="46" t="s">
        <v>516</v>
      </c>
      <c r="C312" s="46" t="s">
        <v>517</v>
      </c>
      <c r="D312" s="46" t="s">
        <v>518</v>
      </c>
      <c r="E312" s="46" t="s">
        <v>16</v>
      </c>
      <c r="F312" s="46">
        <v>116737</v>
      </c>
      <c r="G312" s="46">
        <v>9182</v>
      </c>
      <c r="H312" s="46">
        <v>1836</v>
      </c>
      <c r="I312" s="46">
        <v>1173</v>
      </c>
      <c r="J312" s="46">
        <v>621</v>
      </c>
      <c r="K312" s="46" t="s">
        <v>649</v>
      </c>
      <c r="L312" s="46" t="s">
        <v>650</v>
      </c>
      <c r="M312" s="46" t="s">
        <v>53</v>
      </c>
    </row>
    <row r="313" spans="1:13">
      <c r="A313" s="47">
        <v>45541</v>
      </c>
      <c r="B313" s="46" t="s">
        <v>516</v>
      </c>
      <c r="C313" s="46" t="s">
        <v>517</v>
      </c>
      <c r="D313" s="46" t="s">
        <v>518</v>
      </c>
      <c r="E313" s="46" t="s">
        <v>25</v>
      </c>
      <c r="F313" s="46">
        <v>63297</v>
      </c>
      <c r="G313" s="46">
        <v>4534</v>
      </c>
      <c r="H313" s="46">
        <v>954</v>
      </c>
      <c r="I313" s="46">
        <v>479</v>
      </c>
      <c r="J313" s="46">
        <v>279</v>
      </c>
      <c r="K313" s="46" t="s">
        <v>651</v>
      </c>
      <c r="L313" s="46" t="s">
        <v>652</v>
      </c>
      <c r="M313" s="46" t="s">
        <v>46</v>
      </c>
    </row>
    <row r="314" spans="1:13">
      <c r="A314" s="47">
        <v>45542</v>
      </c>
      <c r="B314" s="46" t="s">
        <v>516</v>
      </c>
      <c r="C314" s="46" t="s">
        <v>517</v>
      </c>
      <c r="D314" s="46" t="s">
        <v>518</v>
      </c>
      <c r="E314" s="46" t="s">
        <v>25</v>
      </c>
      <c r="F314" s="46">
        <v>58123</v>
      </c>
      <c r="G314" s="46">
        <v>2245</v>
      </c>
      <c r="H314" s="46">
        <v>487</v>
      </c>
      <c r="I314" s="46">
        <v>238</v>
      </c>
      <c r="J314" s="46">
        <v>102</v>
      </c>
      <c r="K314" s="46" t="s">
        <v>653</v>
      </c>
      <c r="L314" s="46" t="s">
        <v>654</v>
      </c>
      <c r="M314" s="46" t="s">
        <v>19</v>
      </c>
    </row>
    <row r="315" spans="1:13">
      <c r="A315" s="47">
        <v>45543</v>
      </c>
      <c r="B315" s="46" t="s">
        <v>516</v>
      </c>
      <c r="C315" s="46" t="s">
        <v>517</v>
      </c>
      <c r="D315" s="46" t="s">
        <v>518</v>
      </c>
      <c r="E315" s="46" t="s">
        <v>16</v>
      </c>
      <c r="F315" s="46">
        <v>245747</v>
      </c>
      <c r="G315" s="46">
        <v>19560</v>
      </c>
      <c r="H315" s="46">
        <v>3600</v>
      </c>
      <c r="I315" s="46">
        <v>2070</v>
      </c>
      <c r="J315" s="46">
        <v>927</v>
      </c>
      <c r="K315" s="46" t="s">
        <v>655</v>
      </c>
      <c r="L315" s="46" t="s">
        <v>656</v>
      </c>
      <c r="M315" s="46" t="s">
        <v>19</v>
      </c>
    </row>
    <row r="316" spans="1:13">
      <c r="A316" s="47">
        <v>45544</v>
      </c>
      <c r="B316" s="46" t="s">
        <v>516</v>
      </c>
      <c r="C316" s="46" t="s">
        <v>517</v>
      </c>
      <c r="D316" s="46" t="s">
        <v>518</v>
      </c>
      <c r="E316" s="46" t="s">
        <v>16</v>
      </c>
      <c r="F316" s="46">
        <v>84497</v>
      </c>
      <c r="G316" s="46">
        <v>2556</v>
      </c>
      <c r="H316" s="46">
        <v>527</v>
      </c>
      <c r="I316" s="46">
        <v>306</v>
      </c>
      <c r="J316" s="46">
        <v>147</v>
      </c>
      <c r="K316" s="46" t="s">
        <v>657</v>
      </c>
      <c r="L316" s="46" t="s">
        <v>658</v>
      </c>
      <c r="M316" s="46" t="s">
        <v>35</v>
      </c>
    </row>
    <row r="317" spans="1:13">
      <c r="A317" s="47">
        <v>45545</v>
      </c>
      <c r="B317" s="46" t="s">
        <v>516</v>
      </c>
      <c r="C317" s="46" t="s">
        <v>517</v>
      </c>
      <c r="D317" s="46" t="s">
        <v>518</v>
      </c>
      <c r="E317" s="46" t="s">
        <v>16</v>
      </c>
      <c r="F317" s="46">
        <v>241659</v>
      </c>
      <c r="G317" s="46">
        <v>17679</v>
      </c>
      <c r="H317" s="46">
        <v>2873</v>
      </c>
      <c r="I317" s="46">
        <v>1586</v>
      </c>
      <c r="J317" s="46">
        <v>722</v>
      </c>
      <c r="K317" s="46" t="s">
        <v>659</v>
      </c>
      <c r="L317" s="46" t="s">
        <v>660</v>
      </c>
      <c r="M317" s="46" t="s">
        <v>35</v>
      </c>
    </row>
    <row r="318" spans="1:13">
      <c r="A318" s="47">
        <v>45546</v>
      </c>
      <c r="B318" s="46" t="s">
        <v>516</v>
      </c>
      <c r="C318" s="46" t="s">
        <v>517</v>
      </c>
      <c r="D318" s="46" t="s">
        <v>518</v>
      </c>
      <c r="E318" s="46" t="s">
        <v>25</v>
      </c>
      <c r="F318" s="46">
        <v>65507</v>
      </c>
      <c r="G318" s="46">
        <v>2625</v>
      </c>
      <c r="H318" s="46">
        <v>419</v>
      </c>
      <c r="I318" s="46">
        <v>269</v>
      </c>
      <c r="J318" s="46">
        <v>116</v>
      </c>
      <c r="K318" s="46" t="s">
        <v>661</v>
      </c>
      <c r="L318" s="46" t="s">
        <v>662</v>
      </c>
      <c r="M318" s="46" t="s">
        <v>19</v>
      </c>
    </row>
    <row r="319" spans="1:13">
      <c r="A319" s="47">
        <v>45547</v>
      </c>
      <c r="B319" s="46" t="s">
        <v>516</v>
      </c>
      <c r="C319" s="46" t="s">
        <v>517</v>
      </c>
      <c r="D319" s="46" t="s">
        <v>518</v>
      </c>
      <c r="E319" s="46" t="s">
        <v>16</v>
      </c>
      <c r="F319" s="46">
        <v>89606</v>
      </c>
      <c r="G319" s="46">
        <v>3064</v>
      </c>
      <c r="H319" s="46">
        <v>523</v>
      </c>
      <c r="I319" s="46">
        <v>302</v>
      </c>
      <c r="J319" s="46">
        <v>174</v>
      </c>
      <c r="K319" s="46" t="s">
        <v>663</v>
      </c>
      <c r="L319" s="46" t="s">
        <v>664</v>
      </c>
      <c r="M319" s="46" t="s">
        <v>46</v>
      </c>
    </row>
    <row r="320" spans="1:13">
      <c r="A320" s="47">
        <v>45548</v>
      </c>
      <c r="B320" s="46" t="s">
        <v>516</v>
      </c>
      <c r="C320" s="46" t="s">
        <v>517</v>
      </c>
      <c r="D320" s="46" t="s">
        <v>518</v>
      </c>
      <c r="E320" s="46" t="s">
        <v>28</v>
      </c>
      <c r="F320" s="46">
        <v>288944</v>
      </c>
      <c r="G320" s="46">
        <v>22296</v>
      </c>
      <c r="H320" s="46">
        <v>3936</v>
      </c>
      <c r="I320" s="46">
        <v>2456</v>
      </c>
      <c r="J320" s="46">
        <v>1336</v>
      </c>
      <c r="K320" s="46" t="s">
        <v>665</v>
      </c>
      <c r="L320" s="46" t="s">
        <v>666</v>
      </c>
      <c r="M320" s="46" t="s">
        <v>22</v>
      </c>
    </row>
    <row r="321" spans="1:13">
      <c r="A321" s="47">
        <v>45549</v>
      </c>
      <c r="B321" s="46" t="s">
        <v>516</v>
      </c>
      <c r="C321" s="46" t="s">
        <v>517</v>
      </c>
      <c r="D321" s="46" t="s">
        <v>518</v>
      </c>
      <c r="E321" s="46" t="s">
        <v>28</v>
      </c>
      <c r="F321" s="46">
        <v>61065</v>
      </c>
      <c r="G321" s="46">
        <v>3349</v>
      </c>
      <c r="H321" s="46">
        <v>511</v>
      </c>
      <c r="I321" s="46">
        <v>253</v>
      </c>
      <c r="J321" s="46">
        <v>103</v>
      </c>
      <c r="K321" s="46" t="s">
        <v>667</v>
      </c>
      <c r="L321" s="46" t="s">
        <v>668</v>
      </c>
      <c r="M321" s="46" t="s">
        <v>35</v>
      </c>
    </row>
    <row r="322" spans="1:13">
      <c r="A322" s="47">
        <v>45550</v>
      </c>
      <c r="B322" s="46" t="s">
        <v>516</v>
      </c>
      <c r="C322" s="46" t="s">
        <v>517</v>
      </c>
      <c r="D322" s="46" t="s">
        <v>518</v>
      </c>
      <c r="E322" s="46" t="s">
        <v>16</v>
      </c>
      <c r="F322" s="46">
        <v>52998</v>
      </c>
      <c r="G322" s="46">
        <v>2691</v>
      </c>
      <c r="H322" s="46">
        <v>556</v>
      </c>
      <c r="I322" s="46">
        <v>360</v>
      </c>
      <c r="J322" s="46">
        <v>169</v>
      </c>
      <c r="K322" s="46" t="s">
        <v>669</v>
      </c>
      <c r="L322" s="46" t="s">
        <v>670</v>
      </c>
      <c r="M322" s="46" t="s">
        <v>53</v>
      </c>
    </row>
    <row r="323" spans="1:13">
      <c r="A323" s="47">
        <v>45551</v>
      </c>
      <c r="B323" s="46" t="s">
        <v>516</v>
      </c>
      <c r="C323" s="46" t="s">
        <v>517</v>
      </c>
      <c r="D323" s="46" t="s">
        <v>518</v>
      </c>
      <c r="E323" s="46" t="s">
        <v>16</v>
      </c>
      <c r="F323" s="46">
        <v>188733</v>
      </c>
      <c r="G323" s="46">
        <v>6063</v>
      </c>
      <c r="H323" s="46">
        <v>1486</v>
      </c>
      <c r="I323" s="46">
        <v>848</v>
      </c>
      <c r="J323" s="46">
        <v>495</v>
      </c>
      <c r="K323" s="46" t="s">
        <v>671</v>
      </c>
      <c r="L323" s="46" t="s">
        <v>672</v>
      </c>
      <c r="M323" s="46" t="s">
        <v>19</v>
      </c>
    </row>
    <row r="324" spans="1:13">
      <c r="A324" s="47">
        <v>45552</v>
      </c>
      <c r="B324" s="46" t="s">
        <v>516</v>
      </c>
      <c r="C324" s="46" t="s">
        <v>517</v>
      </c>
      <c r="D324" s="46" t="s">
        <v>518</v>
      </c>
      <c r="E324" s="46" t="s">
        <v>25</v>
      </c>
      <c r="F324" s="46">
        <v>264523</v>
      </c>
      <c r="G324" s="46">
        <v>8422</v>
      </c>
      <c r="H324" s="46">
        <v>1397</v>
      </c>
      <c r="I324" s="46">
        <v>690</v>
      </c>
      <c r="J324" s="46">
        <v>285</v>
      </c>
      <c r="K324" s="46" t="s">
        <v>673</v>
      </c>
      <c r="L324" s="46" t="s">
        <v>674</v>
      </c>
      <c r="M324" s="46" t="s">
        <v>22</v>
      </c>
    </row>
    <row r="325" spans="1:13">
      <c r="A325" s="47">
        <v>45553</v>
      </c>
      <c r="B325" s="46" t="s">
        <v>516</v>
      </c>
      <c r="C325" s="46" t="s">
        <v>517</v>
      </c>
      <c r="D325" s="46" t="s">
        <v>518</v>
      </c>
      <c r="E325" s="46" t="s">
        <v>16</v>
      </c>
      <c r="F325" s="46">
        <v>99863</v>
      </c>
      <c r="G325" s="46">
        <v>5899</v>
      </c>
      <c r="H325" s="46">
        <v>1473</v>
      </c>
      <c r="I325" s="46">
        <v>894</v>
      </c>
      <c r="J325" s="46">
        <v>463</v>
      </c>
      <c r="K325" s="46" t="s">
        <v>675</v>
      </c>
      <c r="L325" s="46" t="s">
        <v>676</v>
      </c>
      <c r="M325" s="46" t="s">
        <v>35</v>
      </c>
    </row>
    <row r="326" spans="1:13">
      <c r="A326" s="47">
        <v>45554</v>
      </c>
      <c r="B326" s="46" t="s">
        <v>516</v>
      </c>
      <c r="C326" s="46" t="s">
        <v>517</v>
      </c>
      <c r="D326" s="46" t="s">
        <v>518</v>
      </c>
      <c r="E326" s="46" t="s">
        <v>28</v>
      </c>
      <c r="F326" s="46">
        <v>76229</v>
      </c>
      <c r="G326" s="46">
        <v>4994</v>
      </c>
      <c r="H326" s="46">
        <v>1189</v>
      </c>
      <c r="I326" s="46">
        <v>748</v>
      </c>
      <c r="J326" s="46">
        <v>448</v>
      </c>
      <c r="K326" s="46" t="s">
        <v>677</v>
      </c>
      <c r="L326" s="46" t="s">
        <v>678</v>
      </c>
      <c r="M326" s="46" t="s">
        <v>22</v>
      </c>
    </row>
    <row r="327" spans="1:13">
      <c r="A327" s="47">
        <v>45555</v>
      </c>
      <c r="B327" s="46" t="s">
        <v>516</v>
      </c>
      <c r="C327" s="46" t="s">
        <v>517</v>
      </c>
      <c r="D327" s="46" t="s">
        <v>518</v>
      </c>
      <c r="E327" s="46" t="s">
        <v>16</v>
      </c>
      <c r="F327" s="46">
        <v>121757</v>
      </c>
      <c r="G327" s="46">
        <v>6018</v>
      </c>
      <c r="H327" s="46">
        <v>1136</v>
      </c>
      <c r="I327" s="46">
        <v>664</v>
      </c>
      <c r="J327" s="46">
        <v>374</v>
      </c>
      <c r="K327" s="46" t="s">
        <v>679</v>
      </c>
      <c r="L327" s="46" t="s">
        <v>680</v>
      </c>
      <c r="M327" s="46" t="s">
        <v>53</v>
      </c>
    </row>
    <row r="328" spans="1:13">
      <c r="A328" s="47">
        <v>45556</v>
      </c>
      <c r="B328" s="46" t="s">
        <v>516</v>
      </c>
      <c r="C328" s="46" t="s">
        <v>517</v>
      </c>
      <c r="D328" s="46" t="s">
        <v>518</v>
      </c>
      <c r="E328" s="46" t="s">
        <v>28</v>
      </c>
      <c r="F328" s="46">
        <v>114298</v>
      </c>
      <c r="G328" s="46">
        <v>4785</v>
      </c>
      <c r="H328" s="46">
        <v>1131</v>
      </c>
      <c r="I328" s="46">
        <v>713</v>
      </c>
      <c r="J328" s="46">
        <v>345</v>
      </c>
      <c r="K328" s="46" t="s">
        <v>681</v>
      </c>
      <c r="L328" s="46" t="s">
        <v>682</v>
      </c>
      <c r="M328" s="46" t="s">
        <v>22</v>
      </c>
    </row>
    <row r="329" spans="1:13">
      <c r="A329" s="47">
        <v>45557</v>
      </c>
      <c r="B329" s="46" t="s">
        <v>516</v>
      </c>
      <c r="C329" s="46" t="s">
        <v>517</v>
      </c>
      <c r="D329" s="46" t="s">
        <v>518</v>
      </c>
      <c r="E329" s="46" t="s">
        <v>16</v>
      </c>
      <c r="F329" s="46">
        <v>105308</v>
      </c>
      <c r="G329" s="46">
        <v>7365</v>
      </c>
      <c r="H329" s="46">
        <v>1272</v>
      </c>
      <c r="I329" s="46">
        <v>726</v>
      </c>
      <c r="J329" s="46">
        <v>432</v>
      </c>
      <c r="K329" s="46" t="s">
        <v>683</v>
      </c>
      <c r="L329" s="46" t="s">
        <v>684</v>
      </c>
      <c r="M329" s="46" t="s">
        <v>22</v>
      </c>
    </row>
    <row r="330" spans="1:13">
      <c r="A330" s="47">
        <v>45558</v>
      </c>
      <c r="B330" s="46" t="s">
        <v>516</v>
      </c>
      <c r="C330" s="46" t="s">
        <v>517</v>
      </c>
      <c r="D330" s="46" t="s">
        <v>518</v>
      </c>
      <c r="E330" s="46" t="s">
        <v>25</v>
      </c>
      <c r="F330" s="46">
        <v>136857</v>
      </c>
      <c r="G330" s="46">
        <v>9505</v>
      </c>
      <c r="H330" s="46">
        <v>1522</v>
      </c>
      <c r="I330" s="46">
        <v>788</v>
      </c>
      <c r="J330" s="46">
        <v>362</v>
      </c>
      <c r="K330" s="46" t="s">
        <v>685</v>
      </c>
      <c r="L330" s="46" t="s">
        <v>686</v>
      </c>
      <c r="M330" s="46" t="s">
        <v>53</v>
      </c>
    </row>
    <row r="331" spans="1:13">
      <c r="A331" s="47">
        <v>45559</v>
      </c>
      <c r="B331" s="46" t="s">
        <v>516</v>
      </c>
      <c r="C331" s="46" t="s">
        <v>517</v>
      </c>
      <c r="D331" s="46" t="s">
        <v>518</v>
      </c>
      <c r="E331" s="46" t="s">
        <v>16</v>
      </c>
      <c r="F331" s="46">
        <v>134230</v>
      </c>
      <c r="G331" s="46">
        <v>8702</v>
      </c>
      <c r="H331" s="46">
        <v>1365</v>
      </c>
      <c r="I331" s="46">
        <v>650</v>
      </c>
      <c r="J331" s="46">
        <v>332</v>
      </c>
      <c r="K331" s="46" t="s">
        <v>687</v>
      </c>
      <c r="L331" s="46" t="s">
        <v>688</v>
      </c>
      <c r="M331" s="46" t="s">
        <v>19</v>
      </c>
    </row>
    <row r="332" spans="1:13">
      <c r="A332" s="47">
        <v>45560</v>
      </c>
      <c r="B332" s="46" t="s">
        <v>516</v>
      </c>
      <c r="C332" s="46" t="s">
        <v>517</v>
      </c>
      <c r="D332" s="46" t="s">
        <v>518</v>
      </c>
      <c r="E332" s="46" t="s">
        <v>25</v>
      </c>
      <c r="F332" s="46">
        <v>262940</v>
      </c>
      <c r="G332" s="46">
        <v>21020</v>
      </c>
      <c r="H332" s="46">
        <v>4963</v>
      </c>
      <c r="I332" s="46">
        <v>2852</v>
      </c>
      <c r="J332" s="46">
        <v>1664</v>
      </c>
      <c r="K332" s="46" t="s">
        <v>689</v>
      </c>
      <c r="L332" s="46" t="s">
        <v>690</v>
      </c>
      <c r="M332" s="46" t="s">
        <v>22</v>
      </c>
    </row>
    <row r="333" spans="1:13">
      <c r="A333" s="47">
        <v>45561</v>
      </c>
      <c r="B333" s="46" t="s">
        <v>516</v>
      </c>
      <c r="C333" s="46" t="s">
        <v>517</v>
      </c>
      <c r="D333" s="46" t="s">
        <v>518</v>
      </c>
      <c r="E333" s="46" t="s">
        <v>28</v>
      </c>
      <c r="F333" s="46">
        <v>273481</v>
      </c>
      <c r="G333" s="46">
        <v>17743</v>
      </c>
      <c r="H333" s="46">
        <v>3097</v>
      </c>
      <c r="I333" s="46">
        <v>1835</v>
      </c>
      <c r="J333" s="46">
        <v>1000</v>
      </c>
      <c r="K333" s="46" t="s">
        <v>691</v>
      </c>
      <c r="L333" s="46" t="s">
        <v>692</v>
      </c>
      <c r="M333" s="46" t="s">
        <v>53</v>
      </c>
    </row>
    <row r="334" spans="1:13">
      <c r="A334" s="47">
        <v>45562</v>
      </c>
      <c r="B334" s="46" t="s">
        <v>516</v>
      </c>
      <c r="C334" s="46" t="s">
        <v>517</v>
      </c>
      <c r="D334" s="46" t="s">
        <v>518</v>
      </c>
      <c r="E334" s="46" t="s">
        <v>16</v>
      </c>
      <c r="F334" s="46">
        <v>81135</v>
      </c>
      <c r="G334" s="46">
        <v>4547</v>
      </c>
      <c r="H334" s="46">
        <v>1123</v>
      </c>
      <c r="I334" s="46">
        <v>543</v>
      </c>
      <c r="J334" s="46">
        <v>325</v>
      </c>
      <c r="K334" s="46" t="s">
        <v>693</v>
      </c>
      <c r="L334" s="46" t="s">
        <v>694</v>
      </c>
      <c r="M334" s="46" t="s">
        <v>22</v>
      </c>
    </row>
    <row r="335" spans="1:13">
      <c r="A335" s="47">
        <v>45563</v>
      </c>
      <c r="B335" s="46" t="s">
        <v>516</v>
      </c>
      <c r="C335" s="46" t="s">
        <v>517</v>
      </c>
      <c r="D335" s="46" t="s">
        <v>518</v>
      </c>
      <c r="E335" s="46" t="s">
        <v>25</v>
      </c>
      <c r="F335" s="46">
        <v>177065</v>
      </c>
      <c r="G335" s="46">
        <v>8511</v>
      </c>
      <c r="H335" s="46">
        <v>1962</v>
      </c>
      <c r="I335" s="46">
        <v>1141</v>
      </c>
      <c r="J335" s="46">
        <v>682</v>
      </c>
      <c r="K335" s="46" t="s">
        <v>695</v>
      </c>
      <c r="L335" s="46" t="s">
        <v>696</v>
      </c>
      <c r="M335" s="46" t="s">
        <v>19</v>
      </c>
    </row>
    <row r="336" spans="1:13">
      <c r="A336" s="47">
        <v>45564</v>
      </c>
      <c r="B336" s="46" t="s">
        <v>516</v>
      </c>
      <c r="C336" s="46" t="s">
        <v>517</v>
      </c>
      <c r="D336" s="46" t="s">
        <v>518</v>
      </c>
      <c r="E336" s="46" t="s">
        <v>16</v>
      </c>
      <c r="F336" s="46">
        <v>120820</v>
      </c>
      <c r="G336" s="46">
        <v>8446</v>
      </c>
      <c r="H336" s="46">
        <v>1398</v>
      </c>
      <c r="I336" s="46">
        <v>808</v>
      </c>
      <c r="J336" s="46">
        <v>382</v>
      </c>
      <c r="K336" s="46" t="s">
        <v>697</v>
      </c>
      <c r="L336" s="46" t="s">
        <v>698</v>
      </c>
      <c r="M336" s="46" t="s">
        <v>53</v>
      </c>
    </row>
    <row r="337" spans="1:13">
      <c r="A337" s="47">
        <v>45565</v>
      </c>
      <c r="B337" s="46" t="s">
        <v>516</v>
      </c>
      <c r="C337" s="46" t="s">
        <v>517</v>
      </c>
      <c r="D337" s="46" t="s">
        <v>518</v>
      </c>
      <c r="E337" s="46" t="s">
        <v>16</v>
      </c>
      <c r="F337" s="46">
        <v>108200</v>
      </c>
      <c r="G337" s="46">
        <v>3265</v>
      </c>
      <c r="H337" s="46">
        <v>588</v>
      </c>
      <c r="I337" s="46">
        <v>270</v>
      </c>
      <c r="J337" s="46">
        <v>146</v>
      </c>
      <c r="K337" s="46" t="s">
        <v>699</v>
      </c>
      <c r="L337" s="46" t="s">
        <v>700</v>
      </c>
      <c r="M337" s="46" t="s">
        <v>46</v>
      </c>
    </row>
    <row r="338" spans="1:13">
      <c r="A338" s="47">
        <v>45566</v>
      </c>
      <c r="B338" s="46" t="s">
        <v>516</v>
      </c>
      <c r="C338" s="46" t="s">
        <v>517</v>
      </c>
      <c r="D338" s="46" t="s">
        <v>518</v>
      </c>
      <c r="E338" s="46" t="s">
        <v>28</v>
      </c>
      <c r="F338" s="46">
        <v>181393</v>
      </c>
      <c r="G338" s="46">
        <v>7776</v>
      </c>
      <c r="H338" s="46">
        <v>1216</v>
      </c>
      <c r="I338" s="46">
        <v>691</v>
      </c>
      <c r="J338" s="46">
        <v>308</v>
      </c>
      <c r="K338" s="46" t="s">
        <v>701</v>
      </c>
      <c r="L338" s="46" t="s">
        <v>702</v>
      </c>
      <c r="M338" s="46" t="s">
        <v>53</v>
      </c>
    </row>
    <row r="339" spans="1:13">
      <c r="A339" s="47">
        <v>45567</v>
      </c>
      <c r="B339" s="46" t="s">
        <v>516</v>
      </c>
      <c r="C339" s="46" t="s">
        <v>517</v>
      </c>
      <c r="D339" s="46" t="s">
        <v>518</v>
      </c>
      <c r="E339" s="46" t="s">
        <v>28</v>
      </c>
      <c r="F339" s="46">
        <v>188107</v>
      </c>
      <c r="G339" s="46">
        <v>11836</v>
      </c>
      <c r="H339" s="46">
        <v>2751</v>
      </c>
      <c r="I339" s="46">
        <v>1255</v>
      </c>
      <c r="J339" s="46">
        <v>668</v>
      </c>
      <c r="K339" s="46" t="s">
        <v>703</v>
      </c>
      <c r="L339" s="46" t="s">
        <v>704</v>
      </c>
      <c r="M339" s="46" t="s">
        <v>22</v>
      </c>
    </row>
    <row r="340" spans="1:13">
      <c r="A340" s="47">
        <v>45568</v>
      </c>
      <c r="B340" s="46" t="s">
        <v>516</v>
      </c>
      <c r="C340" s="46" t="s">
        <v>517</v>
      </c>
      <c r="D340" s="46" t="s">
        <v>518</v>
      </c>
      <c r="E340" s="46" t="s">
        <v>16</v>
      </c>
      <c r="F340" s="46">
        <v>136913</v>
      </c>
      <c r="G340" s="46">
        <v>4144</v>
      </c>
      <c r="H340" s="46">
        <v>997</v>
      </c>
      <c r="I340" s="46">
        <v>508</v>
      </c>
      <c r="J340" s="46">
        <v>257</v>
      </c>
      <c r="K340" s="46" t="s">
        <v>705</v>
      </c>
      <c r="L340" s="46" t="s">
        <v>706</v>
      </c>
      <c r="M340" s="46" t="s">
        <v>53</v>
      </c>
    </row>
    <row r="341" spans="1:13">
      <c r="A341" s="47">
        <v>45569</v>
      </c>
      <c r="B341" s="46" t="s">
        <v>516</v>
      </c>
      <c r="C341" s="46" t="s">
        <v>517</v>
      </c>
      <c r="D341" s="46" t="s">
        <v>518</v>
      </c>
      <c r="E341" s="46" t="s">
        <v>28</v>
      </c>
      <c r="F341" s="46">
        <v>275383</v>
      </c>
      <c r="G341" s="46">
        <v>21966</v>
      </c>
      <c r="H341" s="46">
        <v>4741</v>
      </c>
      <c r="I341" s="46">
        <v>2231</v>
      </c>
      <c r="J341" s="46">
        <v>912</v>
      </c>
      <c r="K341" s="46" t="s">
        <v>707</v>
      </c>
      <c r="L341" s="46" t="s">
        <v>708</v>
      </c>
      <c r="M341" s="46" t="s">
        <v>46</v>
      </c>
    </row>
    <row r="342" spans="1:13">
      <c r="A342" s="47">
        <v>45570</v>
      </c>
      <c r="B342" s="46" t="s">
        <v>516</v>
      </c>
      <c r="C342" s="46" t="s">
        <v>517</v>
      </c>
      <c r="D342" s="46" t="s">
        <v>518</v>
      </c>
      <c r="E342" s="46" t="s">
        <v>28</v>
      </c>
      <c r="F342" s="46">
        <v>287478</v>
      </c>
      <c r="G342" s="46">
        <v>15296</v>
      </c>
      <c r="H342" s="46">
        <v>2824</v>
      </c>
      <c r="I342" s="46">
        <v>1485</v>
      </c>
      <c r="J342" s="46">
        <v>658</v>
      </c>
      <c r="K342" s="46" t="s">
        <v>709</v>
      </c>
      <c r="L342" s="46" t="s">
        <v>710</v>
      </c>
      <c r="M342" s="46" t="s">
        <v>22</v>
      </c>
    </row>
    <row r="343" spans="1:13">
      <c r="A343" s="47">
        <v>45571</v>
      </c>
      <c r="B343" s="46" t="s">
        <v>516</v>
      </c>
      <c r="C343" s="46" t="s">
        <v>517</v>
      </c>
      <c r="D343" s="46" t="s">
        <v>518</v>
      </c>
      <c r="E343" s="46" t="s">
        <v>28</v>
      </c>
      <c r="F343" s="46">
        <v>177706</v>
      </c>
      <c r="G343" s="46">
        <v>6076</v>
      </c>
      <c r="H343" s="46">
        <v>1461</v>
      </c>
      <c r="I343" s="46">
        <v>913</v>
      </c>
      <c r="J343" s="46">
        <v>494</v>
      </c>
      <c r="K343" s="46" t="s">
        <v>711</v>
      </c>
      <c r="L343" s="46" t="s">
        <v>712</v>
      </c>
      <c r="M343" s="46" t="s">
        <v>46</v>
      </c>
    </row>
    <row r="344" spans="1:13">
      <c r="A344" s="47">
        <v>45572</v>
      </c>
      <c r="B344" s="46" t="s">
        <v>516</v>
      </c>
      <c r="C344" s="46" t="s">
        <v>517</v>
      </c>
      <c r="D344" s="46" t="s">
        <v>518</v>
      </c>
      <c r="E344" s="46" t="s">
        <v>28</v>
      </c>
      <c r="F344" s="46">
        <v>295188</v>
      </c>
      <c r="G344" s="46">
        <v>8972</v>
      </c>
      <c r="H344" s="46">
        <v>1635</v>
      </c>
      <c r="I344" s="46">
        <v>877</v>
      </c>
      <c r="J344" s="46">
        <v>449</v>
      </c>
      <c r="K344" s="46" t="s">
        <v>713</v>
      </c>
      <c r="L344" s="46" t="s">
        <v>714</v>
      </c>
      <c r="M344" s="46" t="s">
        <v>35</v>
      </c>
    </row>
    <row r="345" spans="1:13">
      <c r="A345" s="47">
        <v>45573</v>
      </c>
      <c r="B345" s="46" t="s">
        <v>516</v>
      </c>
      <c r="C345" s="46" t="s">
        <v>517</v>
      </c>
      <c r="D345" s="46" t="s">
        <v>518</v>
      </c>
      <c r="E345" s="46" t="s">
        <v>28</v>
      </c>
      <c r="F345" s="46">
        <v>142451</v>
      </c>
      <c r="G345" s="46">
        <v>6326</v>
      </c>
      <c r="H345" s="46">
        <v>1430</v>
      </c>
      <c r="I345" s="46">
        <v>782</v>
      </c>
      <c r="J345" s="46">
        <v>396</v>
      </c>
      <c r="K345" s="46" t="s">
        <v>715</v>
      </c>
      <c r="L345" s="46" t="s">
        <v>716</v>
      </c>
      <c r="M345" s="46" t="s">
        <v>22</v>
      </c>
    </row>
    <row r="346" spans="1:13">
      <c r="A346" s="47">
        <v>45574</v>
      </c>
      <c r="B346" s="46" t="s">
        <v>516</v>
      </c>
      <c r="C346" s="46" t="s">
        <v>517</v>
      </c>
      <c r="D346" s="46" t="s">
        <v>518</v>
      </c>
      <c r="E346" s="46" t="s">
        <v>25</v>
      </c>
      <c r="F346" s="46">
        <v>54463</v>
      </c>
      <c r="G346" s="46">
        <v>3186</v>
      </c>
      <c r="H346" s="46">
        <v>540</v>
      </c>
      <c r="I346" s="46">
        <v>317</v>
      </c>
      <c r="J346" s="46">
        <v>161</v>
      </c>
      <c r="K346" s="46" t="s">
        <v>717</v>
      </c>
      <c r="L346" s="46" t="s">
        <v>718</v>
      </c>
      <c r="M346" s="46" t="s">
        <v>35</v>
      </c>
    </row>
    <row r="347" spans="1:13">
      <c r="A347" s="47">
        <v>45575</v>
      </c>
      <c r="B347" s="46" t="s">
        <v>516</v>
      </c>
      <c r="C347" s="46" t="s">
        <v>517</v>
      </c>
      <c r="D347" s="46" t="s">
        <v>518</v>
      </c>
      <c r="E347" s="46" t="s">
        <v>28</v>
      </c>
      <c r="F347" s="46">
        <v>139686</v>
      </c>
      <c r="G347" s="46">
        <v>5412</v>
      </c>
      <c r="H347" s="46">
        <v>1042</v>
      </c>
      <c r="I347" s="46">
        <v>509</v>
      </c>
      <c r="J347" s="46">
        <v>290</v>
      </c>
      <c r="K347" s="46" t="s">
        <v>719</v>
      </c>
      <c r="L347" s="46" t="s">
        <v>720</v>
      </c>
      <c r="M347" s="46" t="s">
        <v>35</v>
      </c>
    </row>
    <row r="348" spans="1:13">
      <c r="A348" s="47">
        <v>45576</v>
      </c>
      <c r="B348" s="46" t="s">
        <v>516</v>
      </c>
      <c r="C348" s="46" t="s">
        <v>517</v>
      </c>
      <c r="D348" s="46" t="s">
        <v>518</v>
      </c>
      <c r="E348" s="46" t="s">
        <v>28</v>
      </c>
      <c r="F348" s="46">
        <v>120409</v>
      </c>
      <c r="G348" s="46">
        <v>4489</v>
      </c>
      <c r="H348" s="46">
        <v>780</v>
      </c>
      <c r="I348" s="46">
        <v>484</v>
      </c>
      <c r="J348" s="46">
        <v>246</v>
      </c>
      <c r="K348" s="46" t="s">
        <v>721</v>
      </c>
      <c r="L348" s="46" t="s">
        <v>722</v>
      </c>
      <c r="M348" s="46" t="s">
        <v>35</v>
      </c>
    </row>
    <row r="349" spans="1:13">
      <c r="A349" s="47">
        <v>45577</v>
      </c>
      <c r="B349" s="46" t="s">
        <v>516</v>
      </c>
      <c r="C349" s="46" t="s">
        <v>517</v>
      </c>
      <c r="D349" s="46" t="s">
        <v>518</v>
      </c>
      <c r="E349" s="46" t="s">
        <v>16</v>
      </c>
      <c r="F349" s="46">
        <v>216016</v>
      </c>
      <c r="G349" s="46">
        <v>10639</v>
      </c>
      <c r="H349" s="46">
        <v>1987</v>
      </c>
      <c r="I349" s="46">
        <v>1050</v>
      </c>
      <c r="J349" s="46">
        <v>475</v>
      </c>
      <c r="K349" s="46" t="s">
        <v>723</v>
      </c>
      <c r="L349" s="46" t="s">
        <v>724</v>
      </c>
      <c r="M349" s="46" t="s">
        <v>53</v>
      </c>
    </row>
    <row r="350" spans="1:13">
      <c r="A350" s="47">
        <v>45578</v>
      </c>
      <c r="B350" s="46" t="s">
        <v>516</v>
      </c>
      <c r="C350" s="46" t="s">
        <v>517</v>
      </c>
      <c r="D350" s="46" t="s">
        <v>518</v>
      </c>
      <c r="E350" s="46" t="s">
        <v>16</v>
      </c>
      <c r="F350" s="46">
        <v>58912</v>
      </c>
      <c r="G350" s="46">
        <v>4326</v>
      </c>
      <c r="H350" s="46">
        <v>782</v>
      </c>
      <c r="I350" s="46">
        <v>498</v>
      </c>
      <c r="J350" s="46">
        <v>295</v>
      </c>
      <c r="K350" s="46" t="s">
        <v>725</v>
      </c>
      <c r="L350" s="46" t="s">
        <v>726</v>
      </c>
      <c r="M350" s="46" t="s">
        <v>53</v>
      </c>
    </row>
    <row r="351" spans="1:13">
      <c r="A351" s="47">
        <v>45579</v>
      </c>
      <c r="B351" s="46" t="s">
        <v>516</v>
      </c>
      <c r="C351" s="46" t="s">
        <v>517</v>
      </c>
      <c r="D351" s="46" t="s">
        <v>518</v>
      </c>
      <c r="E351" s="46" t="s">
        <v>25</v>
      </c>
      <c r="F351" s="46">
        <v>202717</v>
      </c>
      <c r="G351" s="46">
        <v>6817</v>
      </c>
      <c r="H351" s="46">
        <v>1069</v>
      </c>
      <c r="I351" s="46">
        <v>693</v>
      </c>
      <c r="J351" s="46">
        <v>358</v>
      </c>
      <c r="K351" s="46" t="s">
        <v>727</v>
      </c>
      <c r="L351" s="46" t="s">
        <v>728</v>
      </c>
      <c r="M351" s="46" t="s">
        <v>19</v>
      </c>
    </row>
    <row r="352" spans="1:13">
      <c r="A352" s="47">
        <v>45580</v>
      </c>
      <c r="B352" s="46" t="s">
        <v>516</v>
      </c>
      <c r="C352" s="46" t="s">
        <v>517</v>
      </c>
      <c r="D352" s="46" t="s">
        <v>518</v>
      </c>
      <c r="E352" s="46" t="s">
        <v>25</v>
      </c>
      <c r="F352" s="46">
        <v>251656</v>
      </c>
      <c r="G352" s="46">
        <v>18834</v>
      </c>
      <c r="H352" s="46">
        <v>3343</v>
      </c>
      <c r="I352" s="46">
        <v>1918</v>
      </c>
      <c r="J352" s="46">
        <v>1080</v>
      </c>
      <c r="K352" s="46" t="s">
        <v>729</v>
      </c>
      <c r="L352" s="46" t="s">
        <v>730</v>
      </c>
      <c r="M352" s="46" t="s">
        <v>53</v>
      </c>
    </row>
    <row r="353" spans="1:13">
      <c r="A353" s="47">
        <v>45581</v>
      </c>
      <c r="B353" s="46" t="s">
        <v>516</v>
      </c>
      <c r="C353" s="46" t="s">
        <v>517</v>
      </c>
      <c r="D353" s="46" t="s">
        <v>518</v>
      </c>
      <c r="E353" s="46" t="s">
        <v>16</v>
      </c>
      <c r="F353" s="46">
        <v>199622</v>
      </c>
      <c r="G353" s="46">
        <v>6041</v>
      </c>
      <c r="H353" s="46">
        <v>993</v>
      </c>
      <c r="I353" s="46">
        <v>525</v>
      </c>
      <c r="J353" s="46">
        <v>228</v>
      </c>
      <c r="K353" s="46" t="s">
        <v>731</v>
      </c>
      <c r="L353" s="46" t="s">
        <v>732</v>
      </c>
      <c r="M353" s="46" t="s">
        <v>53</v>
      </c>
    </row>
    <row r="354" spans="1:13">
      <c r="A354" s="47">
        <v>45582</v>
      </c>
      <c r="B354" s="46" t="s">
        <v>516</v>
      </c>
      <c r="C354" s="46" t="s">
        <v>517</v>
      </c>
      <c r="D354" s="46" t="s">
        <v>518</v>
      </c>
      <c r="E354" s="46" t="s">
        <v>28</v>
      </c>
      <c r="F354" s="46">
        <v>69381</v>
      </c>
      <c r="G354" s="46">
        <v>3391</v>
      </c>
      <c r="H354" s="46">
        <v>607</v>
      </c>
      <c r="I354" s="46">
        <v>363</v>
      </c>
      <c r="J354" s="46">
        <v>166</v>
      </c>
      <c r="K354" s="46" t="s">
        <v>733</v>
      </c>
      <c r="L354" s="46" t="s">
        <v>734</v>
      </c>
      <c r="M354" s="46" t="s">
        <v>46</v>
      </c>
    </row>
    <row r="355" spans="1:13">
      <c r="A355" s="47">
        <v>45583</v>
      </c>
      <c r="B355" s="46" t="s">
        <v>516</v>
      </c>
      <c r="C355" s="46" t="s">
        <v>517</v>
      </c>
      <c r="D355" s="46" t="s">
        <v>518</v>
      </c>
      <c r="E355" s="46" t="s">
        <v>16</v>
      </c>
      <c r="F355" s="46">
        <v>287101</v>
      </c>
      <c r="G355" s="46">
        <v>12759</v>
      </c>
      <c r="H355" s="46">
        <v>2552</v>
      </c>
      <c r="I355" s="46">
        <v>1493</v>
      </c>
      <c r="J355" s="46">
        <v>878</v>
      </c>
      <c r="K355" s="46" t="s">
        <v>735</v>
      </c>
      <c r="L355" s="46" t="s">
        <v>736</v>
      </c>
      <c r="M355" s="46" t="s">
        <v>22</v>
      </c>
    </row>
    <row r="356" spans="1:13">
      <c r="A356" s="47">
        <v>45584</v>
      </c>
      <c r="B356" s="46" t="s">
        <v>516</v>
      </c>
      <c r="C356" s="46" t="s">
        <v>517</v>
      </c>
      <c r="D356" s="46" t="s">
        <v>518</v>
      </c>
      <c r="E356" s="46" t="s">
        <v>16</v>
      </c>
      <c r="F356" s="46">
        <v>184878</v>
      </c>
      <c r="G356" s="46">
        <v>12850</v>
      </c>
      <c r="H356" s="46">
        <v>2357</v>
      </c>
      <c r="I356" s="46">
        <v>1514</v>
      </c>
      <c r="J356" s="46">
        <v>788</v>
      </c>
      <c r="K356" s="46" t="s">
        <v>737</v>
      </c>
      <c r="L356" s="46" t="s">
        <v>738</v>
      </c>
      <c r="M356" s="46" t="s">
        <v>35</v>
      </c>
    </row>
    <row r="357" spans="1:13">
      <c r="A357" s="47">
        <v>45585</v>
      </c>
      <c r="B357" s="46" t="s">
        <v>516</v>
      </c>
      <c r="C357" s="46" t="s">
        <v>517</v>
      </c>
      <c r="D357" s="46" t="s">
        <v>518</v>
      </c>
      <c r="E357" s="46" t="s">
        <v>25</v>
      </c>
      <c r="F357" s="46">
        <v>92994</v>
      </c>
      <c r="G357" s="46">
        <v>4254</v>
      </c>
      <c r="H357" s="46">
        <v>1025</v>
      </c>
      <c r="I357" s="46">
        <v>663</v>
      </c>
      <c r="J357" s="46">
        <v>325</v>
      </c>
      <c r="K357" s="46" t="s">
        <v>739</v>
      </c>
      <c r="L357" s="46" t="s">
        <v>740</v>
      </c>
      <c r="M357" s="46" t="s">
        <v>19</v>
      </c>
    </row>
    <row r="358" spans="1:13">
      <c r="A358" s="47">
        <v>45586</v>
      </c>
      <c r="B358" s="46" t="s">
        <v>516</v>
      </c>
      <c r="C358" s="46" t="s">
        <v>517</v>
      </c>
      <c r="D358" s="46" t="s">
        <v>518</v>
      </c>
      <c r="E358" s="46" t="s">
        <v>28</v>
      </c>
      <c r="F358" s="46">
        <v>122794</v>
      </c>
      <c r="G358" s="46">
        <v>7849</v>
      </c>
      <c r="H358" s="46">
        <v>1907</v>
      </c>
      <c r="I358" s="46">
        <v>1022</v>
      </c>
      <c r="J358" s="46">
        <v>609</v>
      </c>
      <c r="K358" s="46" t="s">
        <v>741</v>
      </c>
      <c r="L358" s="46" t="s">
        <v>742</v>
      </c>
      <c r="M358" s="46" t="s">
        <v>35</v>
      </c>
    </row>
    <row r="359" spans="1:13">
      <c r="A359" s="47">
        <v>45587</v>
      </c>
      <c r="B359" s="46" t="s">
        <v>516</v>
      </c>
      <c r="C359" s="46" t="s">
        <v>517</v>
      </c>
      <c r="D359" s="46" t="s">
        <v>518</v>
      </c>
      <c r="E359" s="46" t="s">
        <v>16</v>
      </c>
      <c r="F359" s="46">
        <v>91570</v>
      </c>
      <c r="G359" s="46">
        <v>6739</v>
      </c>
      <c r="H359" s="46">
        <v>1285</v>
      </c>
      <c r="I359" s="46">
        <v>721</v>
      </c>
      <c r="J359" s="46">
        <v>353</v>
      </c>
      <c r="K359" s="46" t="s">
        <v>743</v>
      </c>
      <c r="L359" s="46" t="s">
        <v>744</v>
      </c>
      <c r="M359" s="46" t="s">
        <v>19</v>
      </c>
    </row>
    <row r="360" spans="1:13">
      <c r="A360" s="47">
        <v>45588</v>
      </c>
      <c r="B360" s="46" t="s">
        <v>516</v>
      </c>
      <c r="C360" s="46" t="s">
        <v>517</v>
      </c>
      <c r="D360" s="46" t="s">
        <v>518</v>
      </c>
      <c r="E360" s="46" t="s">
        <v>28</v>
      </c>
      <c r="F360" s="46">
        <v>136044</v>
      </c>
      <c r="G360" s="46">
        <v>5700</v>
      </c>
      <c r="H360" s="46">
        <v>1277</v>
      </c>
      <c r="I360" s="46">
        <v>576</v>
      </c>
      <c r="J360" s="46">
        <v>315</v>
      </c>
      <c r="K360" s="46" t="s">
        <v>745</v>
      </c>
      <c r="L360" s="46" t="s">
        <v>746</v>
      </c>
      <c r="M360" s="46" t="s">
        <v>19</v>
      </c>
    </row>
    <row r="361" spans="1:13">
      <c r="A361" s="47">
        <v>45589</v>
      </c>
      <c r="B361" s="46" t="s">
        <v>516</v>
      </c>
      <c r="C361" s="46" t="s">
        <v>517</v>
      </c>
      <c r="D361" s="46" t="s">
        <v>518</v>
      </c>
      <c r="E361" s="46" t="s">
        <v>25</v>
      </c>
      <c r="F361" s="46">
        <v>167984</v>
      </c>
      <c r="G361" s="46">
        <v>5400</v>
      </c>
      <c r="H361" s="46">
        <v>1206</v>
      </c>
      <c r="I361" s="46">
        <v>563</v>
      </c>
      <c r="J361" s="46">
        <v>278</v>
      </c>
      <c r="K361" s="46" t="s">
        <v>747</v>
      </c>
      <c r="L361" s="46" t="s">
        <v>748</v>
      </c>
      <c r="M361" s="46" t="s">
        <v>35</v>
      </c>
    </row>
    <row r="362" spans="1:13">
      <c r="A362" s="47">
        <v>45590</v>
      </c>
      <c r="B362" s="46" t="s">
        <v>516</v>
      </c>
      <c r="C362" s="46" t="s">
        <v>517</v>
      </c>
      <c r="D362" s="46" t="s">
        <v>518</v>
      </c>
      <c r="E362" s="46" t="s">
        <v>25</v>
      </c>
      <c r="F362" s="46">
        <v>95036</v>
      </c>
      <c r="G362" s="46">
        <v>5272</v>
      </c>
      <c r="H362" s="46">
        <v>948</v>
      </c>
      <c r="I362" s="46">
        <v>435</v>
      </c>
      <c r="J362" s="46">
        <v>238</v>
      </c>
      <c r="K362" s="46" t="s">
        <v>749</v>
      </c>
      <c r="L362" s="46" t="s">
        <v>750</v>
      </c>
      <c r="M362" s="46" t="s">
        <v>22</v>
      </c>
    </row>
    <row r="363" spans="1:13">
      <c r="A363" s="47">
        <v>45591</v>
      </c>
      <c r="B363" s="46" t="s">
        <v>516</v>
      </c>
      <c r="C363" s="46" t="s">
        <v>517</v>
      </c>
      <c r="D363" s="46" t="s">
        <v>518</v>
      </c>
      <c r="E363" s="46" t="s">
        <v>28</v>
      </c>
      <c r="F363" s="46">
        <v>59294</v>
      </c>
      <c r="G363" s="46">
        <v>3218</v>
      </c>
      <c r="H363" s="46">
        <v>771</v>
      </c>
      <c r="I363" s="46">
        <v>376</v>
      </c>
      <c r="J363" s="46">
        <v>216</v>
      </c>
      <c r="K363" s="46" t="s">
        <v>751</v>
      </c>
      <c r="L363" s="46" t="s">
        <v>752</v>
      </c>
      <c r="M363" s="46" t="s">
        <v>19</v>
      </c>
    </row>
    <row r="364" spans="1:13">
      <c r="A364" s="47">
        <v>45592</v>
      </c>
      <c r="B364" s="46" t="s">
        <v>516</v>
      </c>
      <c r="C364" s="46" t="s">
        <v>517</v>
      </c>
      <c r="D364" s="46" t="s">
        <v>518</v>
      </c>
      <c r="E364" s="46" t="s">
        <v>25</v>
      </c>
      <c r="F364" s="46">
        <v>130677</v>
      </c>
      <c r="G364" s="46">
        <v>9462</v>
      </c>
      <c r="H364" s="46">
        <v>1831</v>
      </c>
      <c r="I364" s="46">
        <v>969</v>
      </c>
      <c r="J364" s="46">
        <v>562</v>
      </c>
      <c r="K364" s="46" t="s">
        <v>753</v>
      </c>
      <c r="L364" s="46" t="s">
        <v>754</v>
      </c>
      <c r="M364" s="46" t="s">
        <v>22</v>
      </c>
    </row>
    <row r="365" spans="1:13">
      <c r="A365" s="47">
        <v>45593</v>
      </c>
      <c r="B365" s="46" t="s">
        <v>516</v>
      </c>
      <c r="C365" s="46" t="s">
        <v>517</v>
      </c>
      <c r="D365" s="46" t="s">
        <v>518</v>
      </c>
      <c r="E365" s="46" t="s">
        <v>25</v>
      </c>
      <c r="F365" s="46">
        <v>97058</v>
      </c>
      <c r="G365" s="46">
        <v>3274</v>
      </c>
      <c r="H365" s="46">
        <v>651</v>
      </c>
      <c r="I365" s="46">
        <v>375</v>
      </c>
      <c r="J365" s="46">
        <v>190</v>
      </c>
      <c r="K365" s="46" t="s">
        <v>755</v>
      </c>
      <c r="L365" s="46" t="s">
        <v>756</v>
      </c>
      <c r="M365" s="46" t="s">
        <v>46</v>
      </c>
    </row>
    <row r="366" spans="1:13">
      <c r="A366" s="47">
        <v>45594</v>
      </c>
      <c r="B366" s="46" t="s">
        <v>516</v>
      </c>
      <c r="C366" s="46" t="s">
        <v>517</v>
      </c>
      <c r="D366" s="46" t="s">
        <v>518</v>
      </c>
      <c r="E366" s="46" t="s">
        <v>16</v>
      </c>
      <c r="F366" s="46">
        <v>179478</v>
      </c>
      <c r="G366" s="46">
        <v>6773</v>
      </c>
      <c r="H366" s="46">
        <v>1044</v>
      </c>
      <c r="I366" s="46">
        <v>667</v>
      </c>
      <c r="J366" s="46">
        <v>270</v>
      </c>
      <c r="K366" s="46" t="s">
        <v>757</v>
      </c>
      <c r="L366" s="46" t="s">
        <v>758</v>
      </c>
      <c r="M366" s="46" t="s">
        <v>22</v>
      </c>
    </row>
    <row r="367" spans="1:13">
      <c r="A367" s="47">
        <v>45595</v>
      </c>
      <c r="B367" s="46" t="s">
        <v>516</v>
      </c>
      <c r="C367" s="46" t="s">
        <v>517</v>
      </c>
      <c r="D367" s="46" t="s">
        <v>518</v>
      </c>
      <c r="E367" s="46" t="s">
        <v>28</v>
      </c>
      <c r="F367" s="46">
        <v>281673</v>
      </c>
      <c r="G367" s="46">
        <v>15379</v>
      </c>
      <c r="H367" s="46">
        <v>3271</v>
      </c>
      <c r="I367" s="46">
        <v>1753</v>
      </c>
      <c r="J367" s="46">
        <v>1035</v>
      </c>
      <c r="K367" s="46" t="s">
        <v>759</v>
      </c>
      <c r="L367" s="46" t="s">
        <v>760</v>
      </c>
      <c r="M367" s="46" t="s">
        <v>53</v>
      </c>
    </row>
    <row r="368" spans="1:13">
      <c r="A368" s="47">
        <v>45596</v>
      </c>
      <c r="B368" s="46" t="s">
        <v>516</v>
      </c>
      <c r="C368" s="46" t="s">
        <v>517</v>
      </c>
      <c r="D368" s="46" t="s">
        <v>518</v>
      </c>
      <c r="E368" s="46" t="s">
        <v>28</v>
      </c>
      <c r="F368" s="46">
        <v>116450</v>
      </c>
      <c r="G368" s="46">
        <v>6235</v>
      </c>
      <c r="H368" s="46">
        <v>1558</v>
      </c>
      <c r="I368" s="46">
        <v>824</v>
      </c>
      <c r="J368" s="46">
        <v>360</v>
      </c>
      <c r="K368" s="46" t="s">
        <v>761</v>
      </c>
      <c r="L368" s="46" t="s">
        <v>762</v>
      </c>
      <c r="M368" s="46" t="s">
        <v>53</v>
      </c>
    </row>
    <row r="369" spans="1:13">
      <c r="A369" s="47">
        <v>45597</v>
      </c>
      <c r="B369" s="46" t="s">
        <v>516</v>
      </c>
      <c r="C369" s="46" t="s">
        <v>517</v>
      </c>
      <c r="D369" s="46" t="s">
        <v>518</v>
      </c>
      <c r="E369" s="46" t="s">
        <v>16</v>
      </c>
      <c r="F369" s="46">
        <v>225961</v>
      </c>
      <c r="G369" s="46">
        <v>14171</v>
      </c>
      <c r="H369" s="46">
        <v>3221</v>
      </c>
      <c r="I369" s="46">
        <v>1819</v>
      </c>
      <c r="J369" s="46">
        <v>993</v>
      </c>
      <c r="K369" s="46" t="s">
        <v>763</v>
      </c>
      <c r="L369" s="46" t="s">
        <v>764</v>
      </c>
      <c r="M369" s="46" t="s">
        <v>22</v>
      </c>
    </row>
    <row r="370" spans="1:13">
      <c r="A370" s="47">
        <v>45598</v>
      </c>
      <c r="B370" s="46" t="s">
        <v>516</v>
      </c>
      <c r="C370" s="46" t="s">
        <v>517</v>
      </c>
      <c r="D370" s="46" t="s">
        <v>518</v>
      </c>
      <c r="E370" s="46" t="s">
        <v>28</v>
      </c>
      <c r="F370" s="46">
        <v>106756</v>
      </c>
      <c r="G370" s="46">
        <v>7681</v>
      </c>
      <c r="H370" s="46">
        <v>1748</v>
      </c>
      <c r="I370" s="46">
        <v>926</v>
      </c>
      <c r="J370" s="46">
        <v>405</v>
      </c>
      <c r="K370" s="46" t="s">
        <v>765</v>
      </c>
      <c r="L370" s="46" t="s">
        <v>766</v>
      </c>
      <c r="M370" s="46" t="s">
        <v>46</v>
      </c>
    </row>
    <row r="371" spans="1:13">
      <c r="A371" s="47">
        <v>45599</v>
      </c>
      <c r="B371" s="46" t="s">
        <v>516</v>
      </c>
      <c r="C371" s="46" t="s">
        <v>517</v>
      </c>
      <c r="D371" s="46" t="s">
        <v>518</v>
      </c>
      <c r="E371" s="46" t="s">
        <v>16</v>
      </c>
      <c r="F371" s="46">
        <v>232832</v>
      </c>
      <c r="G371" s="46">
        <v>9147</v>
      </c>
      <c r="H371" s="46">
        <v>1633</v>
      </c>
      <c r="I371" s="46">
        <v>749</v>
      </c>
      <c r="J371" s="46">
        <v>397</v>
      </c>
      <c r="K371" s="46" t="s">
        <v>767</v>
      </c>
      <c r="L371" s="46" t="s">
        <v>768</v>
      </c>
      <c r="M371" s="46" t="s">
        <v>53</v>
      </c>
    </row>
    <row r="372" spans="1:13">
      <c r="A372" s="47">
        <v>45600</v>
      </c>
      <c r="B372" s="46" t="s">
        <v>516</v>
      </c>
      <c r="C372" s="46" t="s">
        <v>517</v>
      </c>
      <c r="D372" s="46" t="s">
        <v>518</v>
      </c>
      <c r="E372" s="46" t="s">
        <v>25</v>
      </c>
      <c r="F372" s="46">
        <v>283483</v>
      </c>
      <c r="G372" s="46">
        <v>9399</v>
      </c>
      <c r="H372" s="46">
        <v>2257</v>
      </c>
      <c r="I372" s="46">
        <v>1289</v>
      </c>
      <c r="J372" s="46">
        <v>646</v>
      </c>
      <c r="K372" s="46" t="s">
        <v>769</v>
      </c>
      <c r="L372" s="46" t="s">
        <v>770</v>
      </c>
      <c r="M372" s="46" t="s">
        <v>46</v>
      </c>
    </row>
    <row r="373" spans="1:13">
      <c r="A373" s="47">
        <v>45601</v>
      </c>
      <c r="B373" s="46" t="s">
        <v>516</v>
      </c>
      <c r="C373" s="46" t="s">
        <v>517</v>
      </c>
      <c r="D373" s="46" t="s">
        <v>518</v>
      </c>
      <c r="E373" s="46" t="s">
        <v>28</v>
      </c>
      <c r="F373" s="46">
        <v>239123</v>
      </c>
      <c r="G373" s="46">
        <v>8684</v>
      </c>
      <c r="H373" s="46">
        <v>1946</v>
      </c>
      <c r="I373" s="46">
        <v>1221</v>
      </c>
      <c r="J373" s="46">
        <v>722</v>
      </c>
      <c r="K373" s="46" t="s">
        <v>771</v>
      </c>
      <c r="L373" s="46" t="s">
        <v>772</v>
      </c>
      <c r="M373" s="46" t="s">
        <v>22</v>
      </c>
    </row>
    <row r="374" spans="1:13">
      <c r="A374" s="47">
        <v>45602</v>
      </c>
      <c r="B374" s="46" t="s">
        <v>516</v>
      </c>
      <c r="C374" s="46" t="s">
        <v>517</v>
      </c>
      <c r="D374" s="46" t="s">
        <v>518</v>
      </c>
      <c r="E374" s="46" t="s">
        <v>28</v>
      </c>
      <c r="F374" s="46">
        <v>276380</v>
      </c>
      <c r="G374" s="46">
        <v>16064</v>
      </c>
      <c r="H374" s="46">
        <v>2534</v>
      </c>
      <c r="I374" s="46">
        <v>1232</v>
      </c>
      <c r="J374" s="46">
        <v>551</v>
      </c>
      <c r="K374" s="46" t="s">
        <v>773</v>
      </c>
      <c r="L374" s="46" t="s">
        <v>774</v>
      </c>
      <c r="M374" s="46" t="s">
        <v>35</v>
      </c>
    </row>
    <row r="375" spans="1:13">
      <c r="A375" s="47">
        <v>45603</v>
      </c>
      <c r="B375" s="46" t="s">
        <v>516</v>
      </c>
      <c r="C375" s="46" t="s">
        <v>517</v>
      </c>
      <c r="D375" s="46" t="s">
        <v>518</v>
      </c>
      <c r="E375" s="46" t="s">
        <v>16</v>
      </c>
      <c r="F375" s="46">
        <v>270180</v>
      </c>
      <c r="G375" s="46">
        <v>14454</v>
      </c>
      <c r="H375" s="46">
        <v>3258</v>
      </c>
      <c r="I375" s="46">
        <v>1917</v>
      </c>
      <c r="J375" s="46">
        <v>990</v>
      </c>
      <c r="K375" s="46" t="s">
        <v>775</v>
      </c>
      <c r="L375" s="46" t="s">
        <v>776</v>
      </c>
      <c r="M375" s="46" t="s">
        <v>19</v>
      </c>
    </row>
    <row r="376" spans="1:13">
      <c r="A376" s="47">
        <v>45604</v>
      </c>
      <c r="B376" s="46" t="s">
        <v>516</v>
      </c>
      <c r="C376" s="46" t="s">
        <v>517</v>
      </c>
      <c r="D376" s="46" t="s">
        <v>518</v>
      </c>
      <c r="E376" s="46" t="s">
        <v>16</v>
      </c>
      <c r="F376" s="46">
        <v>286662</v>
      </c>
      <c r="G376" s="46">
        <v>11043</v>
      </c>
      <c r="H376" s="46">
        <v>1712</v>
      </c>
      <c r="I376" s="46">
        <v>779</v>
      </c>
      <c r="J376" s="46">
        <v>318</v>
      </c>
      <c r="K376" s="46" t="s">
        <v>777</v>
      </c>
      <c r="L376" s="46" t="s">
        <v>778</v>
      </c>
      <c r="M376" s="46" t="s">
        <v>35</v>
      </c>
    </row>
    <row r="377" spans="1:13">
      <c r="A377" s="47">
        <v>45605</v>
      </c>
      <c r="B377" s="46" t="s">
        <v>516</v>
      </c>
      <c r="C377" s="46" t="s">
        <v>517</v>
      </c>
      <c r="D377" s="46" t="s">
        <v>518</v>
      </c>
      <c r="E377" s="46" t="s">
        <v>25</v>
      </c>
      <c r="F377" s="46">
        <v>181568</v>
      </c>
      <c r="G377" s="46">
        <v>10036</v>
      </c>
      <c r="H377" s="46">
        <v>2164</v>
      </c>
      <c r="I377" s="46">
        <v>1043</v>
      </c>
      <c r="J377" s="46">
        <v>557</v>
      </c>
      <c r="K377" s="46" t="s">
        <v>779</v>
      </c>
      <c r="L377" s="46" t="s">
        <v>780</v>
      </c>
      <c r="M377" s="46" t="s">
        <v>46</v>
      </c>
    </row>
    <row r="378" spans="1:13">
      <c r="A378" s="47">
        <v>45606</v>
      </c>
      <c r="B378" s="46" t="s">
        <v>516</v>
      </c>
      <c r="C378" s="46" t="s">
        <v>517</v>
      </c>
      <c r="D378" s="46" t="s">
        <v>518</v>
      </c>
      <c r="E378" s="46" t="s">
        <v>16</v>
      </c>
      <c r="F378" s="46">
        <v>55161</v>
      </c>
      <c r="G378" s="46">
        <v>1674</v>
      </c>
      <c r="H378" s="46">
        <v>327</v>
      </c>
      <c r="I378" s="46">
        <v>182</v>
      </c>
      <c r="J378" s="46">
        <v>93</v>
      </c>
      <c r="K378" s="46" t="s">
        <v>781</v>
      </c>
      <c r="L378" s="46" t="s">
        <v>782</v>
      </c>
      <c r="M378" s="46" t="s">
        <v>22</v>
      </c>
    </row>
    <row r="379" spans="1:13">
      <c r="A379" s="47">
        <v>45607</v>
      </c>
      <c r="B379" s="46" t="s">
        <v>516</v>
      </c>
      <c r="C379" s="46" t="s">
        <v>517</v>
      </c>
      <c r="D379" s="46" t="s">
        <v>518</v>
      </c>
      <c r="E379" s="46" t="s">
        <v>28</v>
      </c>
      <c r="F379" s="46">
        <v>146332</v>
      </c>
      <c r="G379" s="46">
        <v>7956</v>
      </c>
      <c r="H379" s="46">
        <v>1417</v>
      </c>
      <c r="I379" s="46">
        <v>687</v>
      </c>
      <c r="J379" s="46">
        <v>389</v>
      </c>
      <c r="K379" s="46" t="s">
        <v>783</v>
      </c>
      <c r="L379" s="46" t="s">
        <v>784</v>
      </c>
      <c r="M379" s="46" t="s">
        <v>35</v>
      </c>
    </row>
    <row r="380" spans="1:13">
      <c r="A380" s="47">
        <v>45608</v>
      </c>
      <c r="B380" s="46" t="s">
        <v>516</v>
      </c>
      <c r="C380" s="46" t="s">
        <v>517</v>
      </c>
      <c r="D380" s="46" t="s">
        <v>518</v>
      </c>
      <c r="E380" s="46" t="s">
        <v>16</v>
      </c>
      <c r="F380" s="46">
        <v>283452</v>
      </c>
      <c r="G380" s="46">
        <v>10161</v>
      </c>
      <c r="H380" s="46">
        <v>2461</v>
      </c>
      <c r="I380" s="46">
        <v>1357</v>
      </c>
      <c r="J380" s="46">
        <v>599</v>
      </c>
      <c r="K380" s="46" t="s">
        <v>785</v>
      </c>
      <c r="L380" s="46" t="s">
        <v>786</v>
      </c>
      <c r="M380" s="46" t="s">
        <v>35</v>
      </c>
    </row>
    <row r="381" spans="1:13">
      <c r="A381" s="47">
        <v>45609</v>
      </c>
      <c r="B381" s="46" t="s">
        <v>516</v>
      </c>
      <c r="C381" s="46" t="s">
        <v>517</v>
      </c>
      <c r="D381" s="46" t="s">
        <v>518</v>
      </c>
      <c r="E381" s="46" t="s">
        <v>16</v>
      </c>
      <c r="F381" s="46">
        <v>266279</v>
      </c>
      <c r="G381" s="46">
        <v>21175</v>
      </c>
      <c r="H381" s="46">
        <v>3231</v>
      </c>
      <c r="I381" s="46">
        <v>1568</v>
      </c>
      <c r="J381" s="46">
        <v>646</v>
      </c>
      <c r="K381" s="46" t="s">
        <v>787</v>
      </c>
      <c r="L381" s="46" t="s">
        <v>788</v>
      </c>
      <c r="M381" s="46" t="s">
        <v>35</v>
      </c>
    </row>
    <row r="382" spans="1:13">
      <c r="A382" s="47">
        <v>45610</v>
      </c>
      <c r="B382" s="46" t="s">
        <v>516</v>
      </c>
      <c r="C382" s="46" t="s">
        <v>517</v>
      </c>
      <c r="D382" s="46" t="s">
        <v>518</v>
      </c>
      <c r="E382" s="46" t="s">
        <v>28</v>
      </c>
      <c r="F382" s="46">
        <v>126096</v>
      </c>
      <c r="G382" s="46">
        <v>4710</v>
      </c>
      <c r="H382" s="46">
        <v>786</v>
      </c>
      <c r="I382" s="46">
        <v>422</v>
      </c>
      <c r="J382" s="46">
        <v>172</v>
      </c>
      <c r="K382" s="46" t="s">
        <v>789</v>
      </c>
      <c r="L382" s="46" t="s">
        <v>790</v>
      </c>
      <c r="M382" s="46" t="s">
        <v>46</v>
      </c>
    </row>
    <row r="383" spans="1:13">
      <c r="A383" s="47">
        <v>45611</v>
      </c>
      <c r="B383" s="46" t="s">
        <v>516</v>
      </c>
      <c r="C383" s="46" t="s">
        <v>517</v>
      </c>
      <c r="D383" s="46" t="s">
        <v>518</v>
      </c>
      <c r="E383" s="46" t="s">
        <v>25</v>
      </c>
      <c r="F383" s="46">
        <v>72191</v>
      </c>
      <c r="G383" s="46">
        <v>4406</v>
      </c>
      <c r="H383" s="46">
        <v>911</v>
      </c>
      <c r="I383" s="46">
        <v>578</v>
      </c>
      <c r="J383" s="46">
        <v>345</v>
      </c>
      <c r="K383" s="46" t="s">
        <v>791</v>
      </c>
      <c r="L383" s="46" t="s">
        <v>792</v>
      </c>
      <c r="M383" s="46" t="s">
        <v>19</v>
      </c>
    </row>
    <row r="384" spans="1:13">
      <c r="A384" s="47">
        <v>45612</v>
      </c>
      <c r="B384" s="46" t="s">
        <v>516</v>
      </c>
      <c r="C384" s="46" t="s">
        <v>517</v>
      </c>
      <c r="D384" s="46" t="s">
        <v>518</v>
      </c>
      <c r="E384" s="46" t="s">
        <v>28</v>
      </c>
      <c r="F384" s="46">
        <v>102772</v>
      </c>
      <c r="G384" s="46">
        <v>7546</v>
      </c>
      <c r="H384" s="46">
        <v>1445</v>
      </c>
      <c r="I384" s="46">
        <v>670</v>
      </c>
      <c r="J384" s="46">
        <v>401</v>
      </c>
      <c r="K384" s="46" t="s">
        <v>793</v>
      </c>
      <c r="L384" s="46" t="s">
        <v>794</v>
      </c>
      <c r="M384" s="46" t="s">
        <v>46</v>
      </c>
    </row>
    <row r="385" spans="1:13">
      <c r="A385" s="47">
        <v>45613</v>
      </c>
      <c r="B385" s="46" t="s">
        <v>516</v>
      </c>
      <c r="C385" s="46" t="s">
        <v>517</v>
      </c>
      <c r="D385" s="46" t="s">
        <v>518</v>
      </c>
      <c r="E385" s="46" t="s">
        <v>25</v>
      </c>
      <c r="F385" s="46">
        <v>110873</v>
      </c>
      <c r="G385" s="46">
        <v>5990</v>
      </c>
      <c r="H385" s="46">
        <v>1401</v>
      </c>
      <c r="I385" s="46">
        <v>803</v>
      </c>
      <c r="J385" s="46">
        <v>465</v>
      </c>
      <c r="K385" s="46" t="s">
        <v>795</v>
      </c>
      <c r="L385" s="46" t="s">
        <v>796</v>
      </c>
      <c r="M385" s="46" t="s">
        <v>46</v>
      </c>
    </row>
    <row r="386" spans="1:13">
      <c r="A386" s="47">
        <v>45614</v>
      </c>
      <c r="B386" s="46" t="s">
        <v>516</v>
      </c>
      <c r="C386" s="46" t="s">
        <v>517</v>
      </c>
      <c r="D386" s="46" t="s">
        <v>518</v>
      </c>
      <c r="E386" s="46" t="s">
        <v>16</v>
      </c>
      <c r="F386" s="46">
        <v>204362</v>
      </c>
      <c r="G386" s="46">
        <v>14066</v>
      </c>
      <c r="H386" s="46">
        <v>3141</v>
      </c>
      <c r="I386" s="46">
        <v>1562</v>
      </c>
      <c r="J386" s="46">
        <v>659</v>
      </c>
      <c r="K386" s="46" t="s">
        <v>797</v>
      </c>
      <c r="L386" s="46" t="s">
        <v>798</v>
      </c>
      <c r="M386" s="46" t="s">
        <v>53</v>
      </c>
    </row>
    <row r="387" spans="1:13">
      <c r="A387" s="47">
        <v>45615</v>
      </c>
      <c r="B387" s="46" t="s">
        <v>516</v>
      </c>
      <c r="C387" s="46" t="s">
        <v>517</v>
      </c>
      <c r="D387" s="46" t="s">
        <v>518</v>
      </c>
      <c r="E387" s="46" t="s">
        <v>16</v>
      </c>
      <c r="F387" s="46">
        <v>180572</v>
      </c>
      <c r="G387" s="46">
        <v>12720</v>
      </c>
      <c r="H387" s="46">
        <v>2814</v>
      </c>
      <c r="I387" s="46">
        <v>1384</v>
      </c>
      <c r="J387" s="46">
        <v>578</v>
      </c>
      <c r="K387" s="46" t="s">
        <v>799</v>
      </c>
      <c r="L387" s="46" t="s">
        <v>800</v>
      </c>
      <c r="M387" s="46" t="s">
        <v>19</v>
      </c>
    </row>
    <row r="388" spans="1:13">
      <c r="A388" s="47">
        <v>45616</v>
      </c>
      <c r="B388" s="46" t="s">
        <v>516</v>
      </c>
      <c r="C388" s="46" t="s">
        <v>517</v>
      </c>
      <c r="D388" s="46" t="s">
        <v>518</v>
      </c>
      <c r="E388" s="46" t="s">
        <v>28</v>
      </c>
      <c r="F388" s="46">
        <v>193929</v>
      </c>
      <c r="G388" s="46">
        <v>13873</v>
      </c>
      <c r="H388" s="46">
        <v>3062</v>
      </c>
      <c r="I388" s="46">
        <v>1471</v>
      </c>
      <c r="J388" s="46">
        <v>874</v>
      </c>
      <c r="K388" s="46" t="s">
        <v>801</v>
      </c>
      <c r="L388" s="46" t="s">
        <v>802</v>
      </c>
      <c r="M388" s="46" t="s">
        <v>19</v>
      </c>
    </row>
    <row r="389" spans="1:13">
      <c r="A389" s="47">
        <v>45617</v>
      </c>
      <c r="B389" s="46" t="s">
        <v>516</v>
      </c>
      <c r="C389" s="46" t="s">
        <v>517</v>
      </c>
      <c r="D389" s="46" t="s">
        <v>518</v>
      </c>
      <c r="E389" s="46" t="s">
        <v>28</v>
      </c>
      <c r="F389" s="46">
        <v>82283</v>
      </c>
      <c r="G389" s="46">
        <v>2921</v>
      </c>
      <c r="H389" s="46">
        <v>481</v>
      </c>
      <c r="I389" s="46">
        <v>235</v>
      </c>
      <c r="J389" s="46">
        <v>130</v>
      </c>
      <c r="K389" s="46" t="s">
        <v>803</v>
      </c>
      <c r="L389" s="46" t="s">
        <v>804</v>
      </c>
      <c r="M389" s="46" t="s">
        <v>22</v>
      </c>
    </row>
    <row r="390" spans="1:13">
      <c r="A390" s="47">
        <v>45618</v>
      </c>
      <c r="B390" s="46" t="s">
        <v>516</v>
      </c>
      <c r="C390" s="46" t="s">
        <v>517</v>
      </c>
      <c r="D390" s="46" t="s">
        <v>518</v>
      </c>
      <c r="E390" s="46" t="s">
        <v>28</v>
      </c>
      <c r="F390" s="46">
        <v>192091</v>
      </c>
      <c r="G390" s="46">
        <v>11604</v>
      </c>
      <c r="H390" s="46">
        <v>2347</v>
      </c>
      <c r="I390" s="46">
        <v>1104</v>
      </c>
      <c r="J390" s="46">
        <v>643</v>
      </c>
      <c r="K390" s="46" t="s">
        <v>805</v>
      </c>
      <c r="L390" s="46" t="s">
        <v>806</v>
      </c>
      <c r="M390" s="46" t="s">
        <v>19</v>
      </c>
    </row>
    <row r="391" spans="1:13">
      <c r="A391" s="47">
        <v>45619</v>
      </c>
      <c r="B391" s="46" t="s">
        <v>516</v>
      </c>
      <c r="C391" s="46" t="s">
        <v>517</v>
      </c>
      <c r="D391" s="46" t="s">
        <v>518</v>
      </c>
      <c r="E391" s="46" t="s">
        <v>28</v>
      </c>
      <c r="F391" s="46">
        <v>65161</v>
      </c>
      <c r="G391" s="46">
        <v>2390</v>
      </c>
      <c r="H391" s="46">
        <v>561</v>
      </c>
      <c r="I391" s="46">
        <v>334</v>
      </c>
      <c r="J391" s="46">
        <v>173</v>
      </c>
      <c r="K391" s="46" t="s">
        <v>807</v>
      </c>
      <c r="L391" s="46" t="s">
        <v>808</v>
      </c>
      <c r="M391" s="46" t="s">
        <v>53</v>
      </c>
    </row>
    <row r="392" spans="1:13">
      <c r="A392" s="47">
        <v>45620</v>
      </c>
      <c r="B392" s="46" t="s">
        <v>516</v>
      </c>
      <c r="C392" s="46" t="s">
        <v>517</v>
      </c>
      <c r="D392" s="46" t="s">
        <v>518</v>
      </c>
      <c r="E392" s="46" t="s">
        <v>25</v>
      </c>
      <c r="F392" s="46">
        <v>273486</v>
      </c>
      <c r="G392" s="46">
        <v>9563</v>
      </c>
      <c r="H392" s="46">
        <v>1760</v>
      </c>
      <c r="I392" s="46">
        <v>876</v>
      </c>
      <c r="J392" s="46">
        <v>515</v>
      </c>
      <c r="K392" s="46" t="s">
        <v>809</v>
      </c>
      <c r="L392" s="46" t="s">
        <v>810</v>
      </c>
      <c r="M392" s="46" t="s">
        <v>46</v>
      </c>
    </row>
    <row r="393" spans="1:13">
      <c r="A393" s="47">
        <v>45621</v>
      </c>
      <c r="B393" s="46" t="s">
        <v>516</v>
      </c>
      <c r="C393" s="46" t="s">
        <v>517</v>
      </c>
      <c r="D393" s="46" t="s">
        <v>518</v>
      </c>
      <c r="E393" s="46" t="s">
        <v>25</v>
      </c>
      <c r="F393" s="46">
        <v>69058</v>
      </c>
      <c r="G393" s="46">
        <v>3605</v>
      </c>
      <c r="H393" s="46">
        <v>672</v>
      </c>
      <c r="I393" s="46">
        <v>383</v>
      </c>
      <c r="J393" s="46">
        <v>211</v>
      </c>
      <c r="K393" s="46" t="s">
        <v>811</v>
      </c>
      <c r="L393" s="46" t="s">
        <v>812</v>
      </c>
      <c r="M393" s="46" t="s">
        <v>53</v>
      </c>
    </row>
    <row r="394" spans="1:13">
      <c r="A394" s="47">
        <v>45622</v>
      </c>
      <c r="B394" s="46" t="s">
        <v>516</v>
      </c>
      <c r="C394" s="46" t="s">
        <v>517</v>
      </c>
      <c r="D394" s="46" t="s">
        <v>518</v>
      </c>
      <c r="E394" s="46" t="s">
        <v>25</v>
      </c>
      <c r="F394" s="46">
        <v>91853</v>
      </c>
      <c r="G394" s="46">
        <v>6881</v>
      </c>
      <c r="H394" s="46">
        <v>1240</v>
      </c>
      <c r="I394" s="46">
        <v>672</v>
      </c>
      <c r="J394" s="46">
        <v>277</v>
      </c>
      <c r="K394" s="46" t="s">
        <v>813</v>
      </c>
      <c r="L394" s="46" t="s">
        <v>814</v>
      </c>
      <c r="M394" s="46" t="s">
        <v>22</v>
      </c>
    </row>
    <row r="395" spans="1:13">
      <c r="A395" s="47">
        <v>45623</v>
      </c>
      <c r="B395" s="46" t="s">
        <v>516</v>
      </c>
      <c r="C395" s="46" t="s">
        <v>517</v>
      </c>
      <c r="D395" s="46" t="s">
        <v>518</v>
      </c>
      <c r="E395" s="46" t="s">
        <v>16</v>
      </c>
      <c r="F395" s="46">
        <v>90600</v>
      </c>
      <c r="G395" s="46">
        <v>5028</v>
      </c>
      <c r="H395" s="46">
        <v>1186</v>
      </c>
      <c r="I395" s="46">
        <v>602</v>
      </c>
      <c r="J395" s="46">
        <v>308</v>
      </c>
      <c r="K395" s="46" t="s">
        <v>815</v>
      </c>
      <c r="L395" s="46" t="s">
        <v>816</v>
      </c>
      <c r="M395" s="46" t="s">
        <v>35</v>
      </c>
    </row>
    <row r="396" spans="1:13">
      <c r="A396" s="47">
        <v>45624</v>
      </c>
      <c r="B396" s="46" t="s">
        <v>516</v>
      </c>
      <c r="C396" s="46" t="s">
        <v>517</v>
      </c>
      <c r="D396" s="46" t="s">
        <v>518</v>
      </c>
      <c r="E396" s="46" t="s">
        <v>25</v>
      </c>
      <c r="F396" s="46">
        <v>175761</v>
      </c>
      <c r="G396" s="46">
        <v>5318</v>
      </c>
      <c r="H396" s="46">
        <v>1233</v>
      </c>
      <c r="I396" s="46">
        <v>657</v>
      </c>
      <c r="J396" s="46">
        <v>374</v>
      </c>
      <c r="K396" s="46" t="s">
        <v>817</v>
      </c>
      <c r="L396" s="46" t="s">
        <v>818</v>
      </c>
      <c r="M396" s="46" t="s">
        <v>53</v>
      </c>
    </row>
    <row r="397" spans="1:13">
      <c r="A397" s="47">
        <v>45625</v>
      </c>
      <c r="B397" s="46" t="s">
        <v>516</v>
      </c>
      <c r="C397" s="46" t="s">
        <v>517</v>
      </c>
      <c r="D397" s="46" t="s">
        <v>518</v>
      </c>
      <c r="E397" s="46" t="s">
        <v>25</v>
      </c>
      <c r="F397" s="46">
        <v>255808</v>
      </c>
      <c r="G397" s="46">
        <v>20215</v>
      </c>
      <c r="H397" s="46">
        <v>4403</v>
      </c>
      <c r="I397" s="46">
        <v>2084</v>
      </c>
      <c r="J397" s="46">
        <v>1238</v>
      </c>
      <c r="K397" s="46" t="s">
        <v>819</v>
      </c>
      <c r="L397" s="46" t="s">
        <v>820</v>
      </c>
      <c r="M397" s="46" t="s">
        <v>19</v>
      </c>
    </row>
    <row r="398" spans="1:13">
      <c r="A398" s="47">
        <v>45626</v>
      </c>
      <c r="B398" s="46" t="s">
        <v>516</v>
      </c>
      <c r="C398" s="46" t="s">
        <v>517</v>
      </c>
      <c r="D398" s="46" t="s">
        <v>518</v>
      </c>
      <c r="E398" s="46" t="s">
        <v>25</v>
      </c>
      <c r="F398" s="46">
        <v>80454</v>
      </c>
      <c r="G398" s="46">
        <v>5850</v>
      </c>
      <c r="H398" s="46">
        <v>1090</v>
      </c>
      <c r="I398" s="46">
        <v>544</v>
      </c>
      <c r="J398" s="46">
        <v>298</v>
      </c>
      <c r="K398" s="46" t="s">
        <v>821</v>
      </c>
      <c r="L398" s="46" t="s">
        <v>822</v>
      </c>
      <c r="M398" s="46" t="s">
        <v>46</v>
      </c>
    </row>
    <row r="399" spans="1:13">
      <c r="A399" s="47">
        <v>45627</v>
      </c>
      <c r="B399" s="46" t="s">
        <v>516</v>
      </c>
      <c r="C399" s="46" t="s">
        <v>517</v>
      </c>
      <c r="D399" s="46" t="s">
        <v>518</v>
      </c>
      <c r="E399" s="46" t="s">
        <v>16</v>
      </c>
      <c r="F399" s="46">
        <v>197437</v>
      </c>
      <c r="G399" s="46">
        <v>15661</v>
      </c>
      <c r="H399" s="46">
        <v>3170</v>
      </c>
      <c r="I399" s="46">
        <v>2036</v>
      </c>
      <c r="J399" s="46">
        <v>967</v>
      </c>
      <c r="K399" s="46" t="s">
        <v>823</v>
      </c>
      <c r="L399" s="46" t="s">
        <v>824</v>
      </c>
      <c r="M399" s="46" t="s">
        <v>35</v>
      </c>
    </row>
    <row r="400" spans="1:13">
      <c r="A400" s="47">
        <v>45628</v>
      </c>
      <c r="B400" s="46" t="s">
        <v>516</v>
      </c>
      <c r="C400" s="46" t="s">
        <v>517</v>
      </c>
      <c r="D400" s="46" t="s">
        <v>518</v>
      </c>
      <c r="E400" s="46" t="s">
        <v>28</v>
      </c>
      <c r="F400" s="46">
        <v>89542</v>
      </c>
      <c r="G400" s="46">
        <v>6519</v>
      </c>
      <c r="H400" s="46">
        <v>1086</v>
      </c>
      <c r="I400" s="46">
        <v>697</v>
      </c>
      <c r="J400" s="46">
        <v>285</v>
      </c>
      <c r="K400" s="46" t="s">
        <v>825</v>
      </c>
      <c r="L400" s="46" t="s">
        <v>826</v>
      </c>
      <c r="M400" s="46" t="s">
        <v>35</v>
      </c>
    </row>
    <row r="401" spans="1:13">
      <c r="A401" s="47">
        <v>45629</v>
      </c>
      <c r="B401" s="46" t="s">
        <v>516</v>
      </c>
      <c r="C401" s="46" t="s">
        <v>517</v>
      </c>
      <c r="D401" s="46" t="s">
        <v>518</v>
      </c>
      <c r="E401" s="46" t="s">
        <v>16</v>
      </c>
      <c r="F401" s="46">
        <v>264827</v>
      </c>
      <c r="G401" s="46">
        <v>17541</v>
      </c>
      <c r="H401" s="46">
        <v>3210</v>
      </c>
      <c r="I401" s="46">
        <v>1832</v>
      </c>
      <c r="J401" s="46">
        <v>918</v>
      </c>
      <c r="K401" s="46" t="s">
        <v>827</v>
      </c>
      <c r="L401" s="46" t="s">
        <v>828</v>
      </c>
      <c r="M401" s="46" t="s">
        <v>22</v>
      </c>
    </row>
    <row r="402" spans="1:13">
      <c r="A402" s="47">
        <v>45630</v>
      </c>
      <c r="B402" s="46" t="s">
        <v>516</v>
      </c>
      <c r="C402" s="46" t="s">
        <v>517</v>
      </c>
      <c r="D402" s="46" t="s">
        <v>518</v>
      </c>
      <c r="E402" s="46" t="s">
        <v>28</v>
      </c>
      <c r="F402" s="46">
        <v>246484</v>
      </c>
      <c r="G402" s="46">
        <v>15426</v>
      </c>
      <c r="H402" s="46">
        <v>3748</v>
      </c>
      <c r="I402" s="46">
        <v>2056</v>
      </c>
      <c r="J402" s="46">
        <v>1100</v>
      </c>
      <c r="K402" s="46" t="s">
        <v>829</v>
      </c>
      <c r="L402" s="46" t="s">
        <v>830</v>
      </c>
      <c r="M402" s="46" t="s">
        <v>22</v>
      </c>
    </row>
    <row r="403" spans="1:13">
      <c r="A403" s="47">
        <v>45631</v>
      </c>
      <c r="B403" s="46" t="s">
        <v>516</v>
      </c>
      <c r="C403" s="46" t="s">
        <v>517</v>
      </c>
      <c r="D403" s="46" t="s">
        <v>518</v>
      </c>
      <c r="E403" s="46" t="s">
        <v>25</v>
      </c>
      <c r="F403" s="46">
        <v>166847</v>
      </c>
      <c r="G403" s="46">
        <v>6747</v>
      </c>
      <c r="H403" s="46">
        <v>1403</v>
      </c>
      <c r="I403" s="46">
        <v>818</v>
      </c>
      <c r="J403" s="46">
        <v>471</v>
      </c>
      <c r="K403" s="46" t="s">
        <v>831</v>
      </c>
      <c r="L403" s="46" t="s">
        <v>832</v>
      </c>
      <c r="M403" s="46" t="s">
        <v>46</v>
      </c>
    </row>
    <row r="404" spans="1:13">
      <c r="A404" s="47">
        <v>45632</v>
      </c>
      <c r="B404" s="46" t="s">
        <v>516</v>
      </c>
      <c r="C404" s="46" t="s">
        <v>517</v>
      </c>
      <c r="D404" s="46" t="s">
        <v>518</v>
      </c>
      <c r="E404" s="46" t="s">
        <v>16</v>
      </c>
      <c r="F404" s="46">
        <v>159764</v>
      </c>
      <c r="G404" s="46">
        <v>8942</v>
      </c>
      <c r="H404" s="46">
        <v>1411</v>
      </c>
      <c r="I404" s="46">
        <v>644</v>
      </c>
      <c r="J404" s="46">
        <v>294</v>
      </c>
      <c r="K404" s="46" t="s">
        <v>833</v>
      </c>
      <c r="L404" s="46" t="s">
        <v>834</v>
      </c>
      <c r="M404" s="46" t="s">
        <v>46</v>
      </c>
    </row>
    <row r="405" spans="1:13">
      <c r="A405" s="47">
        <v>45633</v>
      </c>
      <c r="B405" s="46" t="s">
        <v>516</v>
      </c>
      <c r="C405" s="46" t="s">
        <v>517</v>
      </c>
      <c r="D405" s="46" t="s">
        <v>518</v>
      </c>
      <c r="E405" s="46" t="s">
        <v>25</v>
      </c>
      <c r="F405" s="46">
        <v>102163</v>
      </c>
      <c r="G405" s="46">
        <v>5048</v>
      </c>
      <c r="H405" s="46">
        <v>1064</v>
      </c>
      <c r="I405" s="46">
        <v>661</v>
      </c>
      <c r="J405" s="46">
        <v>327</v>
      </c>
      <c r="K405" s="46" t="s">
        <v>835</v>
      </c>
      <c r="L405" s="46" t="s">
        <v>836</v>
      </c>
      <c r="M405" s="46" t="s">
        <v>19</v>
      </c>
    </row>
    <row r="406" spans="1:13">
      <c r="A406" s="47">
        <v>45634</v>
      </c>
      <c r="B406" s="46" t="s">
        <v>516</v>
      </c>
      <c r="C406" s="46" t="s">
        <v>517</v>
      </c>
      <c r="D406" s="46" t="s">
        <v>518</v>
      </c>
      <c r="E406" s="46" t="s">
        <v>28</v>
      </c>
      <c r="F406" s="46">
        <v>126853</v>
      </c>
      <c r="G406" s="46">
        <v>7221</v>
      </c>
      <c r="H406" s="46">
        <v>1286</v>
      </c>
      <c r="I406" s="46">
        <v>797</v>
      </c>
      <c r="J406" s="46">
        <v>398</v>
      </c>
      <c r="K406" s="46" t="s">
        <v>837</v>
      </c>
      <c r="L406" s="46" t="s">
        <v>838</v>
      </c>
      <c r="M406" s="46" t="s">
        <v>19</v>
      </c>
    </row>
    <row r="407" spans="1:13">
      <c r="A407" s="47">
        <v>45635</v>
      </c>
      <c r="B407" s="46" t="s">
        <v>516</v>
      </c>
      <c r="C407" s="46" t="s">
        <v>517</v>
      </c>
      <c r="D407" s="46" t="s">
        <v>518</v>
      </c>
      <c r="E407" s="46" t="s">
        <v>28</v>
      </c>
      <c r="F407" s="46">
        <v>220003</v>
      </c>
      <c r="G407" s="46">
        <v>12964</v>
      </c>
      <c r="H407" s="46">
        <v>2716</v>
      </c>
      <c r="I407" s="46">
        <v>1272</v>
      </c>
      <c r="J407" s="46">
        <v>714</v>
      </c>
      <c r="K407" s="46" t="s">
        <v>839</v>
      </c>
      <c r="L407" s="46" t="s">
        <v>840</v>
      </c>
      <c r="M407" s="46" t="s">
        <v>35</v>
      </c>
    </row>
    <row r="408" spans="1:13">
      <c r="A408" s="47">
        <v>45636</v>
      </c>
      <c r="B408" s="46" t="s">
        <v>516</v>
      </c>
      <c r="C408" s="46" t="s">
        <v>517</v>
      </c>
      <c r="D408" s="46" t="s">
        <v>518</v>
      </c>
      <c r="E408" s="46" t="s">
        <v>25</v>
      </c>
      <c r="F408" s="46">
        <v>201824</v>
      </c>
      <c r="G408" s="46">
        <v>7307</v>
      </c>
      <c r="H408" s="46">
        <v>1450</v>
      </c>
      <c r="I408" s="46">
        <v>689</v>
      </c>
      <c r="J408" s="46">
        <v>362</v>
      </c>
      <c r="K408" s="46" t="s">
        <v>841</v>
      </c>
      <c r="L408" s="46" t="s">
        <v>842</v>
      </c>
      <c r="M408" s="46" t="s">
        <v>46</v>
      </c>
    </row>
    <row r="409" spans="1:13">
      <c r="A409" s="47">
        <v>45637</v>
      </c>
      <c r="B409" s="46" t="s">
        <v>516</v>
      </c>
      <c r="C409" s="46" t="s">
        <v>517</v>
      </c>
      <c r="D409" s="46" t="s">
        <v>518</v>
      </c>
      <c r="E409" s="46" t="s">
        <v>16</v>
      </c>
      <c r="F409" s="46">
        <v>250260</v>
      </c>
      <c r="G409" s="46">
        <v>19853</v>
      </c>
      <c r="H409" s="46">
        <v>3492</v>
      </c>
      <c r="I409" s="46">
        <v>1798</v>
      </c>
      <c r="J409" s="46">
        <v>784</v>
      </c>
      <c r="K409" s="46" t="s">
        <v>843</v>
      </c>
      <c r="L409" s="46" t="s">
        <v>844</v>
      </c>
      <c r="M409" s="46" t="s">
        <v>19</v>
      </c>
    </row>
    <row r="410" spans="1:13">
      <c r="A410" s="47">
        <v>45638</v>
      </c>
      <c r="B410" s="46" t="s">
        <v>516</v>
      </c>
      <c r="C410" s="46" t="s">
        <v>517</v>
      </c>
      <c r="D410" s="46" t="s">
        <v>518</v>
      </c>
      <c r="E410" s="46" t="s">
        <v>28</v>
      </c>
      <c r="F410" s="46">
        <v>135664</v>
      </c>
      <c r="G410" s="46">
        <v>4928</v>
      </c>
      <c r="H410" s="46">
        <v>1186</v>
      </c>
      <c r="I410" s="46">
        <v>699</v>
      </c>
      <c r="J410" s="46">
        <v>396</v>
      </c>
      <c r="K410" s="46" t="s">
        <v>845</v>
      </c>
      <c r="L410" s="46" t="s">
        <v>846</v>
      </c>
      <c r="M410" s="46" t="s">
        <v>19</v>
      </c>
    </row>
    <row r="411" spans="1:13">
      <c r="A411" s="47">
        <v>45639</v>
      </c>
      <c r="B411" s="46" t="s">
        <v>516</v>
      </c>
      <c r="C411" s="46" t="s">
        <v>517</v>
      </c>
      <c r="D411" s="46" t="s">
        <v>518</v>
      </c>
      <c r="E411" s="46" t="s">
        <v>28</v>
      </c>
      <c r="F411" s="46">
        <v>160397</v>
      </c>
      <c r="G411" s="46">
        <v>9855</v>
      </c>
      <c r="H411" s="46">
        <v>1850</v>
      </c>
      <c r="I411" s="46">
        <v>945</v>
      </c>
      <c r="J411" s="46">
        <v>509</v>
      </c>
      <c r="K411" s="46" t="s">
        <v>847</v>
      </c>
      <c r="L411" s="46" t="s">
        <v>848</v>
      </c>
      <c r="M411" s="46" t="s">
        <v>46</v>
      </c>
    </row>
    <row r="412" spans="1:13">
      <c r="A412" s="47">
        <v>45640</v>
      </c>
      <c r="B412" s="46" t="s">
        <v>516</v>
      </c>
      <c r="C412" s="46" t="s">
        <v>517</v>
      </c>
      <c r="D412" s="46" t="s">
        <v>518</v>
      </c>
      <c r="E412" s="46" t="s">
        <v>25</v>
      </c>
      <c r="F412" s="46">
        <v>79723</v>
      </c>
      <c r="G412" s="46">
        <v>3466</v>
      </c>
      <c r="H412" s="46">
        <v>546</v>
      </c>
      <c r="I412" s="46">
        <v>277</v>
      </c>
      <c r="J412" s="46">
        <v>162</v>
      </c>
      <c r="K412" s="46" t="s">
        <v>849</v>
      </c>
      <c r="L412" s="46" t="s">
        <v>850</v>
      </c>
      <c r="M412" s="46" t="s">
        <v>46</v>
      </c>
    </row>
    <row r="413" spans="1:13">
      <c r="A413" s="47">
        <v>45641</v>
      </c>
      <c r="B413" s="46" t="s">
        <v>516</v>
      </c>
      <c r="C413" s="46" t="s">
        <v>517</v>
      </c>
      <c r="D413" s="46" t="s">
        <v>518</v>
      </c>
      <c r="E413" s="46" t="s">
        <v>28</v>
      </c>
      <c r="F413" s="46">
        <v>152326</v>
      </c>
      <c r="G413" s="46">
        <v>8620</v>
      </c>
      <c r="H413" s="46">
        <v>2136</v>
      </c>
      <c r="I413" s="46">
        <v>1366</v>
      </c>
      <c r="J413" s="46">
        <v>558</v>
      </c>
      <c r="K413" s="46" t="s">
        <v>851</v>
      </c>
      <c r="L413" s="46" t="s">
        <v>852</v>
      </c>
      <c r="M413" s="46" t="s">
        <v>22</v>
      </c>
    </row>
    <row r="414" spans="1:13">
      <c r="A414" s="47">
        <v>45642</v>
      </c>
      <c r="B414" s="46" t="s">
        <v>516</v>
      </c>
      <c r="C414" s="46" t="s">
        <v>517</v>
      </c>
      <c r="D414" s="46" t="s">
        <v>518</v>
      </c>
      <c r="E414" s="46" t="s">
        <v>28</v>
      </c>
      <c r="F414" s="46">
        <v>215008</v>
      </c>
      <c r="G414" s="46">
        <v>12718</v>
      </c>
      <c r="H414" s="46">
        <v>3010</v>
      </c>
      <c r="I414" s="46">
        <v>1775</v>
      </c>
      <c r="J414" s="46">
        <v>928</v>
      </c>
      <c r="K414" s="46" t="s">
        <v>853</v>
      </c>
      <c r="L414" s="46" t="s">
        <v>854</v>
      </c>
      <c r="M414" s="46" t="s">
        <v>22</v>
      </c>
    </row>
    <row r="415" spans="1:13">
      <c r="A415" s="47">
        <v>45643</v>
      </c>
      <c r="B415" s="46" t="s">
        <v>516</v>
      </c>
      <c r="C415" s="46" t="s">
        <v>517</v>
      </c>
      <c r="D415" s="46" t="s">
        <v>518</v>
      </c>
      <c r="E415" s="46" t="s">
        <v>28</v>
      </c>
      <c r="F415" s="46">
        <v>226154</v>
      </c>
      <c r="G415" s="46">
        <v>6787</v>
      </c>
      <c r="H415" s="46">
        <v>1355</v>
      </c>
      <c r="I415" s="46">
        <v>775</v>
      </c>
      <c r="J415" s="46">
        <v>413</v>
      </c>
      <c r="K415" s="46" t="s">
        <v>855</v>
      </c>
      <c r="L415" s="46" t="s">
        <v>856</v>
      </c>
      <c r="M415" s="46" t="s">
        <v>35</v>
      </c>
    </row>
    <row r="416" spans="1:13">
      <c r="A416" s="47">
        <v>45644</v>
      </c>
      <c r="B416" s="46" t="s">
        <v>516</v>
      </c>
      <c r="C416" s="46" t="s">
        <v>517</v>
      </c>
      <c r="D416" s="46" t="s">
        <v>518</v>
      </c>
      <c r="E416" s="46" t="s">
        <v>16</v>
      </c>
      <c r="F416" s="46">
        <v>65380</v>
      </c>
      <c r="G416" s="46">
        <v>3622</v>
      </c>
      <c r="H416" s="46">
        <v>886</v>
      </c>
      <c r="I416" s="46">
        <v>466</v>
      </c>
      <c r="J416" s="46">
        <v>197</v>
      </c>
      <c r="K416" s="46" t="s">
        <v>857</v>
      </c>
      <c r="L416" s="46" t="s">
        <v>858</v>
      </c>
      <c r="M416" s="46" t="s">
        <v>35</v>
      </c>
    </row>
    <row r="417" spans="1:13">
      <c r="A417" s="47">
        <v>45645</v>
      </c>
      <c r="B417" s="46" t="s">
        <v>516</v>
      </c>
      <c r="C417" s="46" t="s">
        <v>517</v>
      </c>
      <c r="D417" s="46" t="s">
        <v>518</v>
      </c>
      <c r="E417" s="46" t="s">
        <v>25</v>
      </c>
      <c r="F417" s="46">
        <v>64816</v>
      </c>
      <c r="G417" s="46">
        <v>4503</v>
      </c>
      <c r="H417" s="46">
        <v>783</v>
      </c>
      <c r="I417" s="46">
        <v>385</v>
      </c>
      <c r="J417" s="46">
        <v>198</v>
      </c>
      <c r="K417" s="46" t="s">
        <v>859</v>
      </c>
      <c r="L417" s="46" t="s">
        <v>860</v>
      </c>
      <c r="M417" s="46" t="s">
        <v>53</v>
      </c>
    </row>
    <row r="418" spans="1:13">
      <c r="A418" s="47">
        <v>45646</v>
      </c>
      <c r="B418" s="46" t="s">
        <v>516</v>
      </c>
      <c r="C418" s="46" t="s">
        <v>517</v>
      </c>
      <c r="D418" s="46" t="s">
        <v>518</v>
      </c>
      <c r="E418" s="46" t="s">
        <v>28</v>
      </c>
      <c r="F418" s="46">
        <v>129732</v>
      </c>
      <c r="G418" s="46">
        <v>6744</v>
      </c>
      <c r="H418" s="46">
        <v>1532</v>
      </c>
      <c r="I418" s="46">
        <v>866</v>
      </c>
      <c r="J418" s="46">
        <v>459</v>
      </c>
      <c r="K418" s="46" t="s">
        <v>861</v>
      </c>
      <c r="L418" s="46" t="s">
        <v>862</v>
      </c>
      <c r="M418" s="46" t="s">
        <v>22</v>
      </c>
    </row>
    <row r="419" spans="1:13">
      <c r="A419" s="47">
        <v>45647</v>
      </c>
      <c r="B419" s="46" t="s">
        <v>516</v>
      </c>
      <c r="C419" s="46" t="s">
        <v>517</v>
      </c>
      <c r="D419" s="46" t="s">
        <v>518</v>
      </c>
      <c r="E419" s="46" t="s">
        <v>28</v>
      </c>
      <c r="F419" s="46">
        <v>191010</v>
      </c>
      <c r="G419" s="46">
        <v>6685</v>
      </c>
      <c r="H419" s="46">
        <v>1113</v>
      </c>
      <c r="I419" s="46">
        <v>682</v>
      </c>
      <c r="J419" s="46">
        <v>386</v>
      </c>
      <c r="K419" s="46" t="s">
        <v>863</v>
      </c>
      <c r="L419" s="46" t="s">
        <v>864</v>
      </c>
      <c r="M419" s="46" t="s">
        <v>35</v>
      </c>
    </row>
    <row r="420" spans="1:13">
      <c r="A420" s="47">
        <v>45648</v>
      </c>
      <c r="B420" s="46" t="s">
        <v>516</v>
      </c>
      <c r="C420" s="46" t="s">
        <v>517</v>
      </c>
      <c r="D420" s="46" t="s">
        <v>518</v>
      </c>
      <c r="E420" s="46" t="s">
        <v>25</v>
      </c>
      <c r="F420" s="46">
        <v>68302</v>
      </c>
      <c r="G420" s="46">
        <v>2222</v>
      </c>
      <c r="H420" s="46">
        <v>383</v>
      </c>
      <c r="I420" s="46">
        <v>243</v>
      </c>
      <c r="J420" s="46">
        <v>139</v>
      </c>
      <c r="K420" s="46" t="s">
        <v>865</v>
      </c>
      <c r="L420" s="46" t="s">
        <v>866</v>
      </c>
      <c r="M420" s="46" t="s">
        <v>19</v>
      </c>
    </row>
    <row r="421" spans="1:13">
      <c r="A421" s="47">
        <v>45649</v>
      </c>
      <c r="B421" s="46" t="s">
        <v>516</v>
      </c>
      <c r="C421" s="46" t="s">
        <v>517</v>
      </c>
      <c r="D421" s="46" t="s">
        <v>518</v>
      </c>
      <c r="E421" s="46" t="s">
        <v>25</v>
      </c>
      <c r="F421" s="46">
        <v>148429</v>
      </c>
      <c r="G421" s="46">
        <v>6118</v>
      </c>
      <c r="H421" s="46">
        <v>1413</v>
      </c>
      <c r="I421" s="46">
        <v>782</v>
      </c>
      <c r="J421" s="46">
        <v>344</v>
      </c>
      <c r="K421" s="46" t="s">
        <v>867</v>
      </c>
      <c r="L421" s="46" t="s">
        <v>868</v>
      </c>
      <c r="M421" s="46" t="s">
        <v>22</v>
      </c>
    </row>
    <row r="422" spans="1:13">
      <c r="A422" s="47">
        <v>45650</v>
      </c>
      <c r="B422" s="46" t="s">
        <v>516</v>
      </c>
      <c r="C422" s="46" t="s">
        <v>517</v>
      </c>
      <c r="D422" s="46" t="s">
        <v>518</v>
      </c>
      <c r="E422" s="46" t="s">
        <v>25</v>
      </c>
      <c r="F422" s="46">
        <v>130005</v>
      </c>
      <c r="G422" s="46">
        <v>7572</v>
      </c>
      <c r="H422" s="46">
        <v>1183</v>
      </c>
      <c r="I422" s="46">
        <v>758</v>
      </c>
      <c r="J422" s="46">
        <v>342</v>
      </c>
      <c r="K422" s="46" t="s">
        <v>869</v>
      </c>
      <c r="L422" s="46" t="s">
        <v>870</v>
      </c>
      <c r="M422" s="46" t="s">
        <v>53</v>
      </c>
    </row>
    <row r="423" spans="1:13">
      <c r="A423" s="47">
        <v>45651</v>
      </c>
      <c r="B423" s="46" t="s">
        <v>516</v>
      </c>
      <c r="C423" s="46" t="s">
        <v>517</v>
      </c>
      <c r="D423" s="46" t="s">
        <v>518</v>
      </c>
      <c r="E423" s="46" t="s">
        <v>28</v>
      </c>
      <c r="F423" s="46">
        <v>188671</v>
      </c>
      <c r="G423" s="46">
        <v>14836</v>
      </c>
      <c r="H423" s="46">
        <v>3690</v>
      </c>
      <c r="I423" s="46">
        <v>2154</v>
      </c>
      <c r="J423" s="46">
        <v>921</v>
      </c>
      <c r="K423" s="46" t="s">
        <v>871</v>
      </c>
      <c r="L423" s="46" t="s">
        <v>872</v>
      </c>
      <c r="M423" s="46" t="s">
        <v>19</v>
      </c>
    </row>
    <row r="424" spans="1:13">
      <c r="A424" s="47">
        <v>45652</v>
      </c>
      <c r="B424" s="46" t="s">
        <v>516</v>
      </c>
      <c r="C424" s="46" t="s">
        <v>517</v>
      </c>
      <c r="D424" s="46" t="s">
        <v>518</v>
      </c>
      <c r="E424" s="46" t="s">
        <v>25</v>
      </c>
      <c r="F424" s="46">
        <v>210372</v>
      </c>
      <c r="G424" s="46">
        <v>8399</v>
      </c>
      <c r="H424" s="46">
        <v>1694</v>
      </c>
      <c r="I424" s="46">
        <v>973</v>
      </c>
      <c r="J424" s="46">
        <v>468</v>
      </c>
      <c r="K424" s="46" t="s">
        <v>873</v>
      </c>
      <c r="L424" s="46" t="s">
        <v>874</v>
      </c>
      <c r="M424" s="46" t="s">
        <v>53</v>
      </c>
    </row>
    <row r="425" spans="1:13">
      <c r="A425" s="47">
        <v>45653</v>
      </c>
      <c r="B425" s="46" t="s">
        <v>516</v>
      </c>
      <c r="C425" s="46" t="s">
        <v>517</v>
      </c>
      <c r="D425" s="46" t="s">
        <v>518</v>
      </c>
      <c r="E425" s="46" t="s">
        <v>16</v>
      </c>
      <c r="F425" s="46">
        <v>242821</v>
      </c>
      <c r="G425" s="46">
        <v>11287</v>
      </c>
      <c r="H425" s="46">
        <v>2295</v>
      </c>
      <c r="I425" s="46">
        <v>1202</v>
      </c>
      <c r="J425" s="46">
        <v>698</v>
      </c>
      <c r="K425" s="46" t="s">
        <v>875</v>
      </c>
      <c r="L425" s="46" t="s">
        <v>876</v>
      </c>
      <c r="M425" s="46" t="s">
        <v>46</v>
      </c>
    </row>
    <row r="426" spans="1:13">
      <c r="A426" s="47">
        <v>45654</v>
      </c>
      <c r="B426" s="46" t="s">
        <v>516</v>
      </c>
      <c r="C426" s="46" t="s">
        <v>517</v>
      </c>
      <c r="D426" s="46" t="s">
        <v>518</v>
      </c>
      <c r="E426" s="46" t="s">
        <v>25</v>
      </c>
      <c r="F426" s="46">
        <v>203553</v>
      </c>
      <c r="G426" s="46">
        <v>16070</v>
      </c>
      <c r="H426" s="46">
        <v>3160</v>
      </c>
      <c r="I426" s="46">
        <v>1749</v>
      </c>
      <c r="J426" s="46">
        <v>804</v>
      </c>
      <c r="K426" s="46" t="s">
        <v>877</v>
      </c>
      <c r="L426" s="46" t="s">
        <v>878</v>
      </c>
      <c r="M426" s="46" t="s">
        <v>19</v>
      </c>
    </row>
    <row r="427" spans="1:13">
      <c r="A427" s="47">
        <v>45655</v>
      </c>
      <c r="B427" s="46" t="s">
        <v>516</v>
      </c>
      <c r="C427" s="46" t="s">
        <v>517</v>
      </c>
      <c r="D427" s="46" t="s">
        <v>518</v>
      </c>
      <c r="E427" s="46" t="s">
        <v>16</v>
      </c>
      <c r="F427" s="46">
        <v>76603</v>
      </c>
      <c r="G427" s="46">
        <v>5356</v>
      </c>
      <c r="H427" s="46">
        <v>1267</v>
      </c>
      <c r="I427" s="46">
        <v>651</v>
      </c>
      <c r="J427" s="46">
        <v>332</v>
      </c>
      <c r="K427" s="46" t="s">
        <v>879</v>
      </c>
      <c r="L427" s="46" t="s">
        <v>880</v>
      </c>
      <c r="M427" s="46" t="s">
        <v>19</v>
      </c>
    </row>
    <row r="428" spans="1:13">
      <c r="A428" s="47">
        <v>45656</v>
      </c>
      <c r="B428" s="46" t="s">
        <v>516</v>
      </c>
      <c r="C428" s="46" t="s">
        <v>517</v>
      </c>
      <c r="D428" s="46" t="s">
        <v>518</v>
      </c>
      <c r="E428" s="46" t="s">
        <v>25</v>
      </c>
      <c r="F428" s="46">
        <v>170097</v>
      </c>
      <c r="G428" s="46">
        <v>6950</v>
      </c>
      <c r="H428" s="46">
        <v>1199</v>
      </c>
      <c r="I428" s="46">
        <v>740</v>
      </c>
      <c r="J428" s="46">
        <v>397</v>
      </c>
      <c r="K428" s="46" t="s">
        <v>881</v>
      </c>
      <c r="L428" s="46" t="s">
        <v>882</v>
      </c>
      <c r="M428" s="46" t="s">
        <v>53</v>
      </c>
    </row>
    <row r="429" spans="1:13">
      <c r="A429" s="47">
        <v>45657</v>
      </c>
      <c r="B429" s="46" t="s">
        <v>516</v>
      </c>
      <c r="C429" s="46" t="s">
        <v>517</v>
      </c>
      <c r="D429" s="46" t="s">
        <v>518</v>
      </c>
      <c r="E429" s="46" t="s">
        <v>25</v>
      </c>
      <c r="F429" s="46">
        <v>131701</v>
      </c>
      <c r="G429" s="46">
        <v>9179</v>
      </c>
      <c r="H429" s="46">
        <v>1437</v>
      </c>
      <c r="I429" s="46">
        <v>927</v>
      </c>
      <c r="J429" s="46">
        <v>505</v>
      </c>
      <c r="K429" s="46" t="s">
        <v>883</v>
      </c>
      <c r="L429" s="46" t="s">
        <v>884</v>
      </c>
      <c r="M429" s="46" t="s">
        <v>46</v>
      </c>
    </row>
    <row r="430" spans="1:13">
      <c r="A430" s="47">
        <v>45658</v>
      </c>
      <c r="B430" s="46" t="s">
        <v>885</v>
      </c>
      <c r="C430" s="46" t="s">
        <v>886</v>
      </c>
      <c r="D430" s="46" t="s">
        <v>887</v>
      </c>
      <c r="E430" s="46" t="s">
        <v>25</v>
      </c>
      <c r="F430" s="46">
        <v>279530</v>
      </c>
      <c r="G430" s="46">
        <v>19894</v>
      </c>
      <c r="H430" s="46">
        <v>3599</v>
      </c>
      <c r="I430" s="46">
        <v>2203</v>
      </c>
      <c r="J430" s="46">
        <v>1218</v>
      </c>
      <c r="K430" s="46" t="s">
        <v>888</v>
      </c>
      <c r="L430" s="46" t="s">
        <v>889</v>
      </c>
      <c r="M430" s="46" t="s">
        <v>53</v>
      </c>
    </row>
    <row r="431" spans="1:13">
      <c r="A431" s="47">
        <v>45659</v>
      </c>
      <c r="B431" s="46" t="s">
        <v>885</v>
      </c>
      <c r="C431" s="46" t="s">
        <v>886</v>
      </c>
      <c r="D431" s="46" t="s">
        <v>887</v>
      </c>
      <c r="E431" s="46" t="s">
        <v>16</v>
      </c>
      <c r="F431" s="46">
        <v>107357</v>
      </c>
      <c r="G431" s="46">
        <v>3850</v>
      </c>
      <c r="H431" s="46">
        <v>660</v>
      </c>
      <c r="I431" s="46">
        <v>404</v>
      </c>
      <c r="J431" s="46">
        <v>170</v>
      </c>
      <c r="K431" s="46" t="s">
        <v>890</v>
      </c>
      <c r="L431" s="46" t="s">
        <v>891</v>
      </c>
      <c r="M431" s="46" t="s">
        <v>19</v>
      </c>
    </row>
    <row r="432" spans="1:13">
      <c r="A432" s="47">
        <v>45660</v>
      </c>
      <c r="B432" s="46" t="s">
        <v>885</v>
      </c>
      <c r="C432" s="46" t="s">
        <v>886</v>
      </c>
      <c r="D432" s="46" t="s">
        <v>887</v>
      </c>
      <c r="E432" s="46" t="s">
        <v>28</v>
      </c>
      <c r="F432" s="46">
        <v>234568</v>
      </c>
      <c r="G432" s="46">
        <v>11507</v>
      </c>
      <c r="H432" s="46">
        <v>2233</v>
      </c>
      <c r="I432" s="46">
        <v>1415</v>
      </c>
      <c r="J432" s="46">
        <v>677</v>
      </c>
      <c r="K432" s="46" t="s">
        <v>892</v>
      </c>
      <c r="L432" s="46" t="s">
        <v>893</v>
      </c>
      <c r="M432" s="46" t="s">
        <v>19</v>
      </c>
    </row>
    <row r="433" spans="1:13">
      <c r="A433" s="47">
        <v>45661</v>
      </c>
      <c r="B433" s="46" t="s">
        <v>885</v>
      </c>
      <c r="C433" s="46" t="s">
        <v>886</v>
      </c>
      <c r="D433" s="46" t="s">
        <v>887</v>
      </c>
      <c r="E433" s="46" t="s">
        <v>28</v>
      </c>
      <c r="F433" s="46">
        <v>118873</v>
      </c>
      <c r="G433" s="46">
        <v>6602</v>
      </c>
      <c r="H433" s="46">
        <v>1257</v>
      </c>
      <c r="I433" s="46">
        <v>706</v>
      </c>
      <c r="J433" s="46">
        <v>337</v>
      </c>
      <c r="K433" s="46" t="s">
        <v>894</v>
      </c>
      <c r="L433" s="46" t="s">
        <v>895</v>
      </c>
      <c r="M433" s="46" t="s">
        <v>19</v>
      </c>
    </row>
    <row r="434" spans="1:13">
      <c r="A434" s="47">
        <v>45662</v>
      </c>
      <c r="B434" s="46" t="s">
        <v>885</v>
      </c>
      <c r="C434" s="46" t="s">
        <v>886</v>
      </c>
      <c r="D434" s="46" t="s">
        <v>887</v>
      </c>
      <c r="E434" s="46" t="s">
        <v>25</v>
      </c>
      <c r="F434" s="46">
        <v>65935</v>
      </c>
      <c r="G434" s="46">
        <v>3337</v>
      </c>
      <c r="H434" s="46">
        <v>635</v>
      </c>
      <c r="I434" s="46">
        <v>299</v>
      </c>
      <c r="J434" s="46">
        <v>144</v>
      </c>
      <c r="K434" s="46" t="s">
        <v>896</v>
      </c>
      <c r="L434" s="46" t="s">
        <v>897</v>
      </c>
      <c r="M434" s="46" t="s">
        <v>46</v>
      </c>
    </row>
    <row r="435" spans="1:13">
      <c r="A435" s="47">
        <v>45663</v>
      </c>
      <c r="B435" s="46" t="s">
        <v>885</v>
      </c>
      <c r="C435" s="46" t="s">
        <v>886</v>
      </c>
      <c r="D435" s="46" t="s">
        <v>887</v>
      </c>
      <c r="E435" s="46" t="s">
        <v>28</v>
      </c>
      <c r="F435" s="46">
        <v>98052</v>
      </c>
      <c r="G435" s="46">
        <v>5653</v>
      </c>
      <c r="H435" s="46">
        <v>1278</v>
      </c>
      <c r="I435" s="46">
        <v>620</v>
      </c>
      <c r="J435" s="46">
        <v>365</v>
      </c>
      <c r="K435" s="46" t="s">
        <v>898</v>
      </c>
      <c r="L435" s="46" t="s">
        <v>899</v>
      </c>
      <c r="M435" s="46" t="s">
        <v>35</v>
      </c>
    </row>
    <row r="436" spans="1:13">
      <c r="A436" s="47">
        <v>45664</v>
      </c>
      <c r="B436" s="46" t="s">
        <v>885</v>
      </c>
      <c r="C436" s="46" t="s">
        <v>886</v>
      </c>
      <c r="D436" s="46" t="s">
        <v>887</v>
      </c>
      <c r="E436" s="46" t="s">
        <v>25</v>
      </c>
      <c r="F436" s="46">
        <v>131378</v>
      </c>
      <c r="G436" s="46">
        <v>7546</v>
      </c>
      <c r="H436" s="46">
        <v>1518</v>
      </c>
      <c r="I436" s="46">
        <v>715</v>
      </c>
      <c r="J436" s="46">
        <v>293</v>
      </c>
      <c r="K436" s="46" t="s">
        <v>900</v>
      </c>
      <c r="L436" s="46" t="s">
        <v>901</v>
      </c>
      <c r="M436" s="46" t="s">
        <v>46</v>
      </c>
    </row>
    <row r="437" spans="1:13">
      <c r="A437" s="47">
        <v>45665</v>
      </c>
      <c r="B437" s="46" t="s">
        <v>885</v>
      </c>
      <c r="C437" s="46" t="s">
        <v>886</v>
      </c>
      <c r="D437" s="46" t="s">
        <v>887</v>
      </c>
      <c r="E437" s="46" t="s">
        <v>25</v>
      </c>
      <c r="F437" s="46">
        <v>262420</v>
      </c>
      <c r="G437" s="46">
        <v>14446</v>
      </c>
      <c r="H437" s="46">
        <v>3479</v>
      </c>
      <c r="I437" s="46">
        <v>2040</v>
      </c>
      <c r="J437" s="46">
        <v>966</v>
      </c>
      <c r="K437" s="46" t="s">
        <v>902</v>
      </c>
      <c r="L437" s="46" t="s">
        <v>903</v>
      </c>
      <c r="M437" s="46" t="s">
        <v>19</v>
      </c>
    </row>
    <row r="438" spans="1:13">
      <c r="A438" s="47">
        <v>45666</v>
      </c>
      <c r="B438" s="46" t="s">
        <v>885</v>
      </c>
      <c r="C438" s="46" t="s">
        <v>886</v>
      </c>
      <c r="D438" s="46" t="s">
        <v>887</v>
      </c>
      <c r="E438" s="46" t="s">
        <v>28</v>
      </c>
      <c r="F438" s="46">
        <v>153266</v>
      </c>
      <c r="G438" s="46">
        <v>6717</v>
      </c>
      <c r="H438" s="46">
        <v>1640</v>
      </c>
      <c r="I438" s="46">
        <v>966</v>
      </c>
      <c r="J438" s="46">
        <v>430</v>
      </c>
      <c r="K438" s="46" t="s">
        <v>904</v>
      </c>
      <c r="L438" s="46" t="s">
        <v>905</v>
      </c>
      <c r="M438" s="46" t="s">
        <v>46</v>
      </c>
    </row>
    <row r="439" spans="1:13">
      <c r="A439" s="47">
        <v>45667</v>
      </c>
      <c r="B439" s="46" t="s">
        <v>885</v>
      </c>
      <c r="C439" s="46" t="s">
        <v>886</v>
      </c>
      <c r="D439" s="46" t="s">
        <v>887</v>
      </c>
      <c r="E439" s="46" t="s">
        <v>25</v>
      </c>
      <c r="F439" s="46">
        <v>70209</v>
      </c>
      <c r="G439" s="46">
        <v>2239</v>
      </c>
      <c r="H439" s="46">
        <v>511</v>
      </c>
      <c r="I439" s="46">
        <v>331</v>
      </c>
      <c r="J439" s="46">
        <v>185</v>
      </c>
      <c r="K439" s="46" t="s">
        <v>906</v>
      </c>
      <c r="L439" s="46" t="s">
        <v>907</v>
      </c>
      <c r="M439" s="46" t="s">
        <v>53</v>
      </c>
    </row>
    <row r="440" spans="1:13">
      <c r="A440" s="47">
        <v>45668</v>
      </c>
      <c r="B440" s="46" t="s">
        <v>885</v>
      </c>
      <c r="C440" s="46" t="s">
        <v>886</v>
      </c>
      <c r="D440" s="46" t="s">
        <v>887</v>
      </c>
      <c r="E440" s="46" t="s">
        <v>25</v>
      </c>
      <c r="F440" s="46">
        <v>125823</v>
      </c>
      <c r="G440" s="46">
        <v>6100</v>
      </c>
      <c r="H440" s="46">
        <v>1244</v>
      </c>
      <c r="I440" s="46">
        <v>598</v>
      </c>
      <c r="J440" s="46">
        <v>263</v>
      </c>
      <c r="K440" s="46" t="s">
        <v>908</v>
      </c>
      <c r="L440" s="46" t="s">
        <v>909</v>
      </c>
      <c r="M440" s="46" t="s">
        <v>53</v>
      </c>
    </row>
    <row r="441" spans="1:13">
      <c r="A441" s="47">
        <v>45669</v>
      </c>
      <c r="B441" s="46" t="s">
        <v>885</v>
      </c>
      <c r="C441" s="46" t="s">
        <v>886</v>
      </c>
      <c r="D441" s="46" t="s">
        <v>887</v>
      </c>
      <c r="E441" s="46" t="s">
        <v>28</v>
      </c>
      <c r="F441" s="46">
        <v>203716</v>
      </c>
      <c r="G441" s="46">
        <v>6420</v>
      </c>
      <c r="H441" s="46">
        <v>1047</v>
      </c>
      <c r="I441" s="46">
        <v>499</v>
      </c>
      <c r="J441" s="46">
        <v>199</v>
      </c>
      <c r="K441" s="46" t="s">
        <v>910</v>
      </c>
      <c r="L441" s="46" t="s">
        <v>911</v>
      </c>
      <c r="M441" s="46" t="s">
        <v>19</v>
      </c>
    </row>
    <row r="442" spans="1:13">
      <c r="A442" s="47">
        <v>45670</v>
      </c>
      <c r="B442" s="46" t="s">
        <v>885</v>
      </c>
      <c r="C442" s="46" t="s">
        <v>886</v>
      </c>
      <c r="D442" s="46" t="s">
        <v>887</v>
      </c>
      <c r="E442" s="46" t="s">
        <v>25</v>
      </c>
      <c r="F442" s="46">
        <v>146482</v>
      </c>
      <c r="G442" s="46">
        <v>4711</v>
      </c>
      <c r="H442" s="46">
        <v>931</v>
      </c>
      <c r="I442" s="46">
        <v>572</v>
      </c>
      <c r="J442" s="46">
        <v>338</v>
      </c>
      <c r="K442" s="46" t="s">
        <v>912</v>
      </c>
      <c r="L442" s="46" t="s">
        <v>913</v>
      </c>
      <c r="M442" s="46" t="s">
        <v>22</v>
      </c>
    </row>
    <row r="443" spans="1:13">
      <c r="A443" s="47">
        <v>45671</v>
      </c>
      <c r="B443" s="46" t="s">
        <v>885</v>
      </c>
      <c r="C443" s="46" t="s">
        <v>886</v>
      </c>
      <c r="D443" s="46" t="s">
        <v>887</v>
      </c>
      <c r="E443" s="46" t="s">
        <v>25</v>
      </c>
      <c r="F443" s="46">
        <v>266480</v>
      </c>
      <c r="G443" s="46">
        <v>8507</v>
      </c>
      <c r="H443" s="46">
        <v>1449</v>
      </c>
      <c r="I443" s="46">
        <v>740</v>
      </c>
      <c r="J443" s="46">
        <v>346</v>
      </c>
      <c r="K443" s="46" t="s">
        <v>914</v>
      </c>
      <c r="L443" s="46" t="s">
        <v>915</v>
      </c>
      <c r="M443" s="46" t="s">
        <v>46</v>
      </c>
    </row>
    <row r="444" spans="1:13">
      <c r="A444" s="47">
        <v>45672</v>
      </c>
      <c r="B444" s="46" t="s">
        <v>885</v>
      </c>
      <c r="C444" s="46" t="s">
        <v>886</v>
      </c>
      <c r="D444" s="46" t="s">
        <v>887</v>
      </c>
      <c r="E444" s="46" t="s">
        <v>25</v>
      </c>
      <c r="F444" s="46">
        <v>119877</v>
      </c>
      <c r="G444" s="46">
        <v>5157</v>
      </c>
      <c r="H444" s="46">
        <v>853</v>
      </c>
      <c r="I444" s="46">
        <v>489</v>
      </c>
      <c r="J444" s="46">
        <v>196</v>
      </c>
      <c r="K444" s="46" t="s">
        <v>916</v>
      </c>
      <c r="L444" s="46" t="s">
        <v>917</v>
      </c>
      <c r="M444" s="46" t="s">
        <v>35</v>
      </c>
    </row>
    <row r="445" spans="1:13">
      <c r="A445" s="47">
        <v>45673</v>
      </c>
      <c r="B445" s="46" t="s">
        <v>885</v>
      </c>
      <c r="C445" s="46" t="s">
        <v>886</v>
      </c>
      <c r="D445" s="46" t="s">
        <v>887</v>
      </c>
      <c r="E445" s="46" t="s">
        <v>28</v>
      </c>
      <c r="F445" s="46">
        <v>258617</v>
      </c>
      <c r="G445" s="46">
        <v>11130</v>
      </c>
      <c r="H445" s="46">
        <v>2706</v>
      </c>
      <c r="I445" s="46">
        <v>1265</v>
      </c>
      <c r="J445" s="46">
        <v>634</v>
      </c>
      <c r="K445" s="46" t="s">
        <v>918</v>
      </c>
      <c r="L445" s="46" t="s">
        <v>919</v>
      </c>
      <c r="M445" s="46" t="s">
        <v>35</v>
      </c>
    </row>
    <row r="446" spans="1:13">
      <c r="A446" s="47">
        <v>45674</v>
      </c>
      <c r="B446" s="46" t="s">
        <v>885</v>
      </c>
      <c r="C446" s="46" t="s">
        <v>886</v>
      </c>
      <c r="D446" s="46" t="s">
        <v>887</v>
      </c>
      <c r="E446" s="46" t="s">
        <v>28</v>
      </c>
      <c r="F446" s="46">
        <v>286009</v>
      </c>
      <c r="G446" s="46">
        <v>20719</v>
      </c>
      <c r="H446" s="46">
        <v>3174</v>
      </c>
      <c r="I446" s="46">
        <v>1988</v>
      </c>
      <c r="J446" s="46">
        <v>1183</v>
      </c>
      <c r="K446" s="46" t="s">
        <v>920</v>
      </c>
      <c r="L446" s="46" t="s">
        <v>921</v>
      </c>
      <c r="M446" s="46" t="s">
        <v>22</v>
      </c>
    </row>
    <row r="447" spans="1:13">
      <c r="A447" s="47">
        <v>45675</v>
      </c>
      <c r="B447" s="46" t="s">
        <v>885</v>
      </c>
      <c r="C447" s="46" t="s">
        <v>886</v>
      </c>
      <c r="D447" s="46" t="s">
        <v>887</v>
      </c>
      <c r="E447" s="46" t="s">
        <v>25</v>
      </c>
      <c r="F447" s="46">
        <v>143217</v>
      </c>
      <c r="G447" s="46">
        <v>6695</v>
      </c>
      <c r="H447" s="46">
        <v>1166</v>
      </c>
      <c r="I447" s="46">
        <v>607</v>
      </c>
      <c r="J447" s="46">
        <v>327</v>
      </c>
      <c r="K447" s="46" t="s">
        <v>922</v>
      </c>
      <c r="L447" s="46" t="s">
        <v>923</v>
      </c>
      <c r="M447" s="46" t="s">
        <v>53</v>
      </c>
    </row>
    <row r="448" spans="1:13">
      <c r="A448" s="47">
        <v>45676</v>
      </c>
      <c r="B448" s="46" t="s">
        <v>885</v>
      </c>
      <c r="C448" s="46" t="s">
        <v>886</v>
      </c>
      <c r="D448" s="46" t="s">
        <v>887</v>
      </c>
      <c r="E448" s="46" t="s">
        <v>25</v>
      </c>
      <c r="F448" s="46">
        <v>72167</v>
      </c>
      <c r="G448" s="46">
        <v>3593</v>
      </c>
      <c r="H448" s="46">
        <v>602</v>
      </c>
      <c r="I448" s="46">
        <v>351</v>
      </c>
      <c r="J448" s="46">
        <v>197</v>
      </c>
      <c r="K448" s="46" t="s">
        <v>924</v>
      </c>
      <c r="L448" s="46" t="s">
        <v>925</v>
      </c>
      <c r="M448" s="46" t="s">
        <v>35</v>
      </c>
    </row>
    <row r="449" spans="1:13">
      <c r="A449" s="47">
        <v>45677</v>
      </c>
      <c r="B449" s="46" t="s">
        <v>885</v>
      </c>
      <c r="C449" s="46" t="s">
        <v>886</v>
      </c>
      <c r="D449" s="46" t="s">
        <v>887</v>
      </c>
      <c r="E449" s="46" t="s">
        <v>25</v>
      </c>
      <c r="F449" s="46">
        <v>239490</v>
      </c>
      <c r="G449" s="46">
        <v>16490</v>
      </c>
      <c r="H449" s="46">
        <v>2821</v>
      </c>
      <c r="I449" s="46">
        <v>1500</v>
      </c>
      <c r="J449" s="46">
        <v>857</v>
      </c>
      <c r="K449" s="46" t="s">
        <v>926</v>
      </c>
      <c r="L449" s="46" t="s">
        <v>927</v>
      </c>
      <c r="M449" s="46" t="s">
        <v>46</v>
      </c>
    </row>
    <row r="450" spans="1:13">
      <c r="A450" s="47">
        <v>45678</v>
      </c>
      <c r="B450" s="46" t="s">
        <v>885</v>
      </c>
      <c r="C450" s="46" t="s">
        <v>886</v>
      </c>
      <c r="D450" s="46" t="s">
        <v>887</v>
      </c>
      <c r="E450" s="46" t="s">
        <v>25</v>
      </c>
      <c r="F450" s="46">
        <v>114858</v>
      </c>
      <c r="G450" s="46">
        <v>8995</v>
      </c>
      <c r="H450" s="46">
        <v>2140</v>
      </c>
      <c r="I450" s="46">
        <v>1042</v>
      </c>
      <c r="J450" s="46">
        <v>585</v>
      </c>
      <c r="K450" s="46" t="s">
        <v>928</v>
      </c>
      <c r="L450" s="46" t="s">
        <v>929</v>
      </c>
      <c r="M450" s="46" t="s">
        <v>46</v>
      </c>
    </row>
    <row r="451" spans="1:13">
      <c r="A451" s="47">
        <v>45679</v>
      </c>
      <c r="B451" s="46" t="s">
        <v>885</v>
      </c>
      <c r="C451" s="46" t="s">
        <v>886</v>
      </c>
      <c r="D451" s="46" t="s">
        <v>887</v>
      </c>
      <c r="E451" s="46" t="s">
        <v>28</v>
      </c>
      <c r="F451" s="46">
        <v>287469</v>
      </c>
      <c r="G451" s="46">
        <v>15650</v>
      </c>
      <c r="H451" s="46">
        <v>3709</v>
      </c>
      <c r="I451" s="46">
        <v>1899</v>
      </c>
      <c r="J451" s="46">
        <v>784</v>
      </c>
      <c r="K451" s="46" t="s">
        <v>930</v>
      </c>
      <c r="L451" s="46" t="s">
        <v>931</v>
      </c>
      <c r="M451" s="46" t="s">
        <v>19</v>
      </c>
    </row>
    <row r="452" spans="1:13">
      <c r="A452" s="47">
        <v>45680</v>
      </c>
      <c r="B452" s="46" t="s">
        <v>885</v>
      </c>
      <c r="C452" s="46" t="s">
        <v>886</v>
      </c>
      <c r="D452" s="46" t="s">
        <v>887</v>
      </c>
      <c r="E452" s="46" t="s">
        <v>25</v>
      </c>
      <c r="F452" s="46">
        <v>160382</v>
      </c>
      <c r="G452" s="46">
        <v>12822</v>
      </c>
      <c r="H452" s="46">
        <v>2675</v>
      </c>
      <c r="I452" s="46">
        <v>1467</v>
      </c>
      <c r="J452" s="46">
        <v>670</v>
      </c>
      <c r="K452" s="46" t="s">
        <v>932</v>
      </c>
      <c r="L452" s="46" t="s">
        <v>933</v>
      </c>
      <c r="M452" s="46" t="s">
        <v>46</v>
      </c>
    </row>
    <row r="453" spans="1:13">
      <c r="A453" s="47">
        <v>45681</v>
      </c>
      <c r="B453" s="46" t="s">
        <v>885</v>
      </c>
      <c r="C453" s="46" t="s">
        <v>886</v>
      </c>
      <c r="D453" s="46" t="s">
        <v>887</v>
      </c>
      <c r="E453" s="46" t="s">
        <v>25</v>
      </c>
      <c r="F453" s="46">
        <v>87341</v>
      </c>
      <c r="G453" s="46">
        <v>6016</v>
      </c>
      <c r="H453" s="46">
        <v>1290</v>
      </c>
      <c r="I453" s="46">
        <v>669</v>
      </c>
      <c r="J453" s="46">
        <v>315</v>
      </c>
      <c r="K453" s="46" t="s">
        <v>934</v>
      </c>
      <c r="L453" s="46" t="s">
        <v>935</v>
      </c>
      <c r="M453" s="46" t="s">
        <v>35</v>
      </c>
    </row>
    <row r="454" spans="1:13">
      <c r="A454" s="47">
        <v>45682</v>
      </c>
      <c r="B454" s="46" t="s">
        <v>885</v>
      </c>
      <c r="C454" s="46" t="s">
        <v>886</v>
      </c>
      <c r="D454" s="46" t="s">
        <v>887</v>
      </c>
      <c r="E454" s="46" t="s">
        <v>25</v>
      </c>
      <c r="F454" s="46">
        <v>184938</v>
      </c>
      <c r="G454" s="46">
        <v>6118</v>
      </c>
      <c r="H454" s="46">
        <v>1450</v>
      </c>
      <c r="I454" s="46">
        <v>865</v>
      </c>
      <c r="J454" s="46">
        <v>478</v>
      </c>
      <c r="K454" s="46" t="s">
        <v>936</v>
      </c>
      <c r="L454" s="46" t="s">
        <v>937</v>
      </c>
      <c r="M454" s="46" t="s">
        <v>22</v>
      </c>
    </row>
    <row r="455" spans="1:13">
      <c r="A455" s="47">
        <v>45683</v>
      </c>
      <c r="B455" s="46" t="s">
        <v>885</v>
      </c>
      <c r="C455" s="46" t="s">
        <v>886</v>
      </c>
      <c r="D455" s="46" t="s">
        <v>887</v>
      </c>
      <c r="E455" s="46" t="s">
        <v>25</v>
      </c>
      <c r="F455" s="46">
        <v>63670</v>
      </c>
      <c r="G455" s="46">
        <v>3261</v>
      </c>
      <c r="H455" s="46">
        <v>779</v>
      </c>
      <c r="I455" s="46">
        <v>463</v>
      </c>
      <c r="J455" s="46">
        <v>260</v>
      </c>
      <c r="K455" s="46" t="s">
        <v>938</v>
      </c>
      <c r="L455" s="46" t="s">
        <v>939</v>
      </c>
      <c r="M455" s="46" t="s">
        <v>22</v>
      </c>
    </row>
    <row r="456" spans="1:13">
      <c r="A456" s="47">
        <v>45684</v>
      </c>
      <c r="B456" s="46" t="s">
        <v>885</v>
      </c>
      <c r="C456" s="46" t="s">
        <v>886</v>
      </c>
      <c r="D456" s="46" t="s">
        <v>887</v>
      </c>
      <c r="E456" s="46" t="s">
        <v>16</v>
      </c>
      <c r="F456" s="46">
        <v>182711</v>
      </c>
      <c r="G456" s="46">
        <v>13431</v>
      </c>
      <c r="H456" s="46">
        <v>2341</v>
      </c>
      <c r="I456" s="46">
        <v>1427</v>
      </c>
      <c r="J456" s="46">
        <v>816</v>
      </c>
      <c r="K456" s="46" t="s">
        <v>940</v>
      </c>
      <c r="L456" s="46" t="s">
        <v>941</v>
      </c>
      <c r="M456" s="46" t="s">
        <v>22</v>
      </c>
    </row>
    <row r="457" spans="1:13">
      <c r="A457" s="47">
        <v>45685</v>
      </c>
      <c r="B457" s="46" t="s">
        <v>885</v>
      </c>
      <c r="C457" s="46" t="s">
        <v>886</v>
      </c>
      <c r="D457" s="46" t="s">
        <v>887</v>
      </c>
      <c r="E457" s="46" t="s">
        <v>16</v>
      </c>
      <c r="F457" s="46">
        <v>228212</v>
      </c>
      <c r="G457" s="46">
        <v>18002</v>
      </c>
      <c r="H457" s="46">
        <v>4371</v>
      </c>
      <c r="I457" s="46">
        <v>2526</v>
      </c>
      <c r="J457" s="46">
        <v>1404</v>
      </c>
      <c r="K457" s="46" t="s">
        <v>942</v>
      </c>
      <c r="L457" s="46" t="s">
        <v>943</v>
      </c>
      <c r="M457" s="46" t="s">
        <v>53</v>
      </c>
    </row>
    <row r="458" spans="1:13">
      <c r="A458" s="47">
        <v>45686</v>
      </c>
      <c r="B458" s="46" t="s">
        <v>885</v>
      </c>
      <c r="C458" s="46" t="s">
        <v>886</v>
      </c>
      <c r="D458" s="46" t="s">
        <v>887</v>
      </c>
      <c r="E458" s="46" t="s">
        <v>28</v>
      </c>
      <c r="F458" s="46">
        <v>258910</v>
      </c>
      <c r="G458" s="46">
        <v>20306</v>
      </c>
      <c r="H458" s="46">
        <v>3105</v>
      </c>
      <c r="I458" s="46">
        <v>1415</v>
      </c>
      <c r="J458" s="46">
        <v>615</v>
      </c>
      <c r="K458" s="46" t="s">
        <v>944</v>
      </c>
      <c r="L458" s="46" t="s">
        <v>945</v>
      </c>
      <c r="M458" s="46" t="s">
        <v>35</v>
      </c>
    </row>
    <row r="459" spans="1:13">
      <c r="A459" s="47">
        <v>45687</v>
      </c>
      <c r="B459" s="46" t="s">
        <v>885</v>
      </c>
      <c r="C459" s="46" t="s">
        <v>886</v>
      </c>
      <c r="D459" s="46" t="s">
        <v>887</v>
      </c>
      <c r="E459" s="46" t="s">
        <v>16</v>
      </c>
      <c r="F459" s="46">
        <v>90143</v>
      </c>
      <c r="G459" s="46">
        <v>2803</v>
      </c>
      <c r="H459" s="46">
        <v>540</v>
      </c>
      <c r="I459" s="46">
        <v>314</v>
      </c>
      <c r="J459" s="46">
        <v>175</v>
      </c>
      <c r="K459" s="46" t="s">
        <v>946</v>
      </c>
      <c r="L459" s="46" t="s">
        <v>947</v>
      </c>
      <c r="M459" s="46" t="s">
        <v>46</v>
      </c>
    </row>
    <row r="460" spans="1:13">
      <c r="A460" s="47">
        <v>45688</v>
      </c>
      <c r="B460" s="46" t="s">
        <v>885</v>
      </c>
      <c r="C460" s="46" t="s">
        <v>886</v>
      </c>
      <c r="D460" s="46" t="s">
        <v>887</v>
      </c>
      <c r="E460" s="46" t="s">
        <v>25</v>
      </c>
      <c r="F460" s="46">
        <v>85144</v>
      </c>
      <c r="G460" s="46">
        <v>3382</v>
      </c>
      <c r="H460" s="46">
        <v>587</v>
      </c>
      <c r="I460" s="46">
        <v>296</v>
      </c>
      <c r="J460" s="46">
        <v>155</v>
      </c>
      <c r="K460" s="46" t="s">
        <v>948</v>
      </c>
      <c r="L460" s="46" t="s">
        <v>949</v>
      </c>
      <c r="M460" s="46" t="s">
        <v>46</v>
      </c>
    </row>
    <row r="461" spans="1:13">
      <c r="A461" s="47">
        <v>45689</v>
      </c>
      <c r="B461" s="46" t="s">
        <v>885</v>
      </c>
      <c r="C461" s="46" t="s">
        <v>886</v>
      </c>
      <c r="D461" s="46" t="s">
        <v>887</v>
      </c>
      <c r="E461" s="46" t="s">
        <v>28</v>
      </c>
      <c r="F461" s="46">
        <v>247492</v>
      </c>
      <c r="G461" s="46">
        <v>18132</v>
      </c>
      <c r="H461" s="46">
        <v>4384</v>
      </c>
      <c r="I461" s="46">
        <v>2710</v>
      </c>
      <c r="J461" s="46">
        <v>1613</v>
      </c>
      <c r="K461" s="46" t="s">
        <v>950</v>
      </c>
      <c r="L461" s="46" t="s">
        <v>951</v>
      </c>
      <c r="M461" s="46" t="s">
        <v>35</v>
      </c>
    </row>
    <row r="462" spans="1:13">
      <c r="A462" s="47">
        <v>45690</v>
      </c>
      <c r="B462" s="46" t="s">
        <v>885</v>
      </c>
      <c r="C462" s="46" t="s">
        <v>886</v>
      </c>
      <c r="D462" s="46" t="s">
        <v>887</v>
      </c>
      <c r="E462" s="46" t="s">
        <v>28</v>
      </c>
      <c r="F462" s="46">
        <v>131901</v>
      </c>
      <c r="G462" s="46">
        <v>8460</v>
      </c>
      <c r="H462" s="46">
        <v>1385</v>
      </c>
      <c r="I462" s="46">
        <v>816</v>
      </c>
      <c r="J462" s="46">
        <v>412</v>
      </c>
      <c r="K462" s="46" t="s">
        <v>952</v>
      </c>
      <c r="L462" s="46" t="s">
        <v>953</v>
      </c>
      <c r="M462" s="46" t="s">
        <v>35</v>
      </c>
    </row>
    <row r="463" spans="1:13">
      <c r="A463" s="47">
        <v>45691</v>
      </c>
      <c r="B463" s="46" t="s">
        <v>885</v>
      </c>
      <c r="C463" s="46" t="s">
        <v>886</v>
      </c>
      <c r="D463" s="46" t="s">
        <v>887</v>
      </c>
      <c r="E463" s="46" t="s">
        <v>28</v>
      </c>
      <c r="F463" s="46">
        <v>228466</v>
      </c>
      <c r="G463" s="46">
        <v>8425</v>
      </c>
      <c r="H463" s="46">
        <v>1286</v>
      </c>
      <c r="I463" s="46">
        <v>782</v>
      </c>
      <c r="J463" s="46">
        <v>385</v>
      </c>
      <c r="K463" s="46" t="s">
        <v>954</v>
      </c>
      <c r="L463" s="46" t="s">
        <v>955</v>
      </c>
      <c r="M463" s="46" t="s">
        <v>35</v>
      </c>
    </row>
    <row r="464" spans="1:13">
      <c r="A464" s="47">
        <v>45692</v>
      </c>
      <c r="B464" s="46" t="s">
        <v>885</v>
      </c>
      <c r="C464" s="46" t="s">
        <v>886</v>
      </c>
      <c r="D464" s="46" t="s">
        <v>887</v>
      </c>
      <c r="E464" s="46" t="s">
        <v>16</v>
      </c>
      <c r="F464" s="46">
        <v>224736</v>
      </c>
      <c r="G464" s="46">
        <v>14914</v>
      </c>
      <c r="H464" s="46">
        <v>3722</v>
      </c>
      <c r="I464" s="46">
        <v>2167</v>
      </c>
      <c r="J464" s="46">
        <v>1264</v>
      </c>
      <c r="K464" s="46" t="s">
        <v>956</v>
      </c>
      <c r="L464" s="46" t="s">
        <v>957</v>
      </c>
      <c r="M464" s="46" t="s">
        <v>19</v>
      </c>
    </row>
    <row r="465" spans="1:13">
      <c r="A465" s="47">
        <v>45693</v>
      </c>
      <c r="B465" s="46" t="s">
        <v>885</v>
      </c>
      <c r="C465" s="46" t="s">
        <v>886</v>
      </c>
      <c r="D465" s="46" t="s">
        <v>887</v>
      </c>
      <c r="E465" s="46" t="s">
        <v>28</v>
      </c>
      <c r="F465" s="46">
        <v>169022</v>
      </c>
      <c r="G465" s="46">
        <v>13204</v>
      </c>
      <c r="H465" s="46">
        <v>3261</v>
      </c>
      <c r="I465" s="46">
        <v>1590</v>
      </c>
      <c r="J465" s="46">
        <v>892</v>
      </c>
      <c r="K465" s="46" t="s">
        <v>958</v>
      </c>
      <c r="L465" s="46" t="s">
        <v>959</v>
      </c>
      <c r="M465" s="46" t="s">
        <v>19</v>
      </c>
    </row>
    <row r="466" spans="1:13">
      <c r="A466" s="47">
        <v>45694</v>
      </c>
      <c r="B466" s="46" t="s">
        <v>885</v>
      </c>
      <c r="C466" s="46" t="s">
        <v>886</v>
      </c>
      <c r="D466" s="46" t="s">
        <v>887</v>
      </c>
      <c r="E466" s="46" t="s">
        <v>16</v>
      </c>
      <c r="F466" s="46">
        <v>171440</v>
      </c>
      <c r="G466" s="46">
        <v>12089</v>
      </c>
      <c r="H466" s="46">
        <v>2871</v>
      </c>
      <c r="I466" s="46">
        <v>1782</v>
      </c>
      <c r="J466" s="46">
        <v>734</v>
      </c>
      <c r="K466" s="46" t="s">
        <v>960</v>
      </c>
      <c r="L466" s="46" t="s">
        <v>961</v>
      </c>
      <c r="M466" s="46" t="s">
        <v>22</v>
      </c>
    </row>
    <row r="467" spans="1:13">
      <c r="A467" s="47">
        <v>45695</v>
      </c>
      <c r="B467" s="46" t="s">
        <v>885</v>
      </c>
      <c r="C467" s="46" t="s">
        <v>886</v>
      </c>
      <c r="D467" s="46" t="s">
        <v>887</v>
      </c>
      <c r="E467" s="46" t="s">
        <v>28</v>
      </c>
      <c r="F467" s="46">
        <v>157459</v>
      </c>
      <c r="G467" s="46">
        <v>9897</v>
      </c>
      <c r="H467" s="46">
        <v>2312</v>
      </c>
      <c r="I467" s="46">
        <v>1209</v>
      </c>
      <c r="J467" s="46">
        <v>650</v>
      </c>
      <c r="K467" s="46" t="s">
        <v>962</v>
      </c>
      <c r="L467" s="46" t="s">
        <v>963</v>
      </c>
      <c r="M467" s="46" t="s">
        <v>22</v>
      </c>
    </row>
    <row r="468" spans="1:13">
      <c r="A468" s="47">
        <v>45696</v>
      </c>
      <c r="B468" s="46" t="s">
        <v>885</v>
      </c>
      <c r="C468" s="46" t="s">
        <v>886</v>
      </c>
      <c r="D468" s="46" t="s">
        <v>887</v>
      </c>
      <c r="E468" s="46" t="s">
        <v>25</v>
      </c>
      <c r="F468" s="46">
        <v>65423</v>
      </c>
      <c r="G468" s="46">
        <v>3275</v>
      </c>
      <c r="H468" s="46">
        <v>709</v>
      </c>
      <c r="I468" s="46">
        <v>417</v>
      </c>
      <c r="J468" s="46">
        <v>179</v>
      </c>
      <c r="K468" s="46" t="s">
        <v>964</v>
      </c>
      <c r="L468" s="46" t="s">
        <v>965</v>
      </c>
      <c r="M468" s="46" t="s">
        <v>46</v>
      </c>
    </row>
    <row r="469" spans="1:13">
      <c r="A469" s="47">
        <v>45697</v>
      </c>
      <c r="B469" s="46" t="s">
        <v>885</v>
      </c>
      <c r="C469" s="46" t="s">
        <v>886</v>
      </c>
      <c r="D469" s="46" t="s">
        <v>887</v>
      </c>
      <c r="E469" s="46" t="s">
        <v>28</v>
      </c>
      <c r="F469" s="46">
        <v>194699</v>
      </c>
      <c r="G469" s="46">
        <v>6867</v>
      </c>
      <c r="H469" s="46">
        <v>1321</v>
      </c>
      <c r="I469" s="46">
        <v>634</v>
      </c>
      <c r="J469" s="46">
        <v>310</v>
      </c>
      <c r="K469" s="46" t="s">
        <v>966</v>
      </c>
      <c r="L469" s="46" t="s">
        <v>967</v>
      </c>
      <c r="M469" s="46" t="s">
        <v>35</v>
      </c>
    </row>
    <row r="470" spans="1:13">
      <c r="A470" s="47">
        <v>45698</v>
      </c>
      <c r="B470" s="46" t="s">
        <v>885</v>
      </c>
      <c r="C470" s="46" t="s">
        <v>886</v>
      </c>
      <c r="D470" s="46" t="s">
        <v>887</v>
      </c>
      <c r="E470" s="46" t="s">
        <v>16</v>
      </c>
      <c r="F470" s="46">
        <v>258921</v>
      </c>
      <c r="G470" s="46">
        <v>15451</v>
      </c>
      <c r="H470" s="46">
        <v>3155</v>
      </c>
      <c r="I470" s="46">
        <v>1580</v>
      </c>
      <c r="J470" s="46">
        <v>846</v>
      </c>
      <c r="K470" s="46" t="s">
        <v>968</v>
      </c>
      <c r="L470" s="46" t="s">
        <v>969</v>
      </c>
      <c r="M470" s="46" t="s">
        <v>53</v>
      </c>
    </row>
    <row r="471" spans="1:13">
      <c r="A471" s="47">
        <v>45699</v>
      </c>
      <c r="B471" s="46" t="s">
        <v>885</v>
      </c>
      <c r="C471" s="46" t="s">
        <v>886</v>
      </c>
      <c r="D471" s="46" t="s">
        <v>887</v>
      </c>
      <c r="E471" s="46" t="s">
        <v>25</v>
      </c>
      <c r="F471" s="46">
        <v>127232</v>
      </c>
      <c r="G471" s="46">
        <v>9034</v>
      </c>
      <c r="H471" s="46">
        <v>1736</v>
      </c>
      <c r="I471" s="46">
        <v>1112</v>
      </c>
      <c r="J471" s="46">
        <v>517</v>
      </c>
      <c r="K471" s="46" t="s">
        <v>970</v>
      </c>
      <c r="L471" s="46" t="s">
        <v>971</v>
      </c>
      <c r="M471" s="46" t="s">
        <v>35</v>
      </c>
    </row>
    <row r="472" spans="1:13">
      <c r="A472" s="47">
        <v>45700</v>
      </c>
      <c r="B472" s="46" t="s">
        <v>885</v>
      </c>
      <c r="C472" s="46" t="s">
        <v>886</v>
      </c>
      <c r="D472" s="46" t="s">
        <v>887</v>
      </c>
      <c r="E472" s="46" t="s">
        <v>16</v>
      </c>
      <c r="F472" s="46">
        <v>183701</v>
      </c>
      <c r="G472" s="46">
        <v>10838</v>
      </c>
      <c r="H472" s="46">
        <v>1745</v>
      </c>
      <c r="I472" s="46">
        <v>807</v>
      </c>
      <c r="J472" s="46">
        <v>469</v>
      </c>
      <c r="K472" s="46" t="s">
        <v>972</v>
      </c>
      <c r="L472" s="46" t="s">
        <v>973</v>
      </c>
      <c r="M472" s="46" t="s">
        <v>46</v>
      </c>
    </row>
    <row r="473" spans="1:13">
      <c r="A473" s="47">
        <v>45701</v>
      </c>
      <c r="B473" s="46" t="s">
        <v>885</v>
      </c>
      <c r="C473" s="46" t="s">
        <v>886</v>
      </c>
      <c r="D473" s="46" t="s">
        <v>887</v>
      </c>
      <c r="E473" s="46" t="s">
        <v>16</v>
      </c>
      <c r="F473" s="46">
        <v>61637</v>
      </c>
      <c r="G473" s="46">
        <v>4452</v>
      </c>
      <c r="H473" s="46">
        <v>790</v>
      </c>
      <c r="I473" s="46">
        <v>460</v>
      </c>
      <c r="J473" s="46">
        <v>264</v>
      </c>
      <c r="K473" s="46" t="s">
        <v>974</v>
      </c>
      <c r="L473" s="46" t="s">
        <v>975</v>
      </c>
      <c r="M473" s="46" t="s">
        <v>53</v>
      </c>
    </row>
    <row r="474" spans="1:13">
      <c r="A474" s="47">
        <v>45702</v>
      </c>
      <c r="B474" s="46" t="s">
        <v>885</v>
      </c>
      <c r="C474" s="46" t="s">
        <v>886</v>
      </c>
      <c r="D474" s="46" t="s">
        <v>887</v>
      </c>
      <c r="E474" s="46" t="s">
        <v>16</v>
      </c>
      <c r="F474" s="46">
        <v>115475</v>
      </c>
      <c r="G474" s="46">
        <v>6434</v>
      </c>
      <c r="H474" s="46">
        <v>1594</v>
      </c>
      <c r="I474" s="46">
        <v>911</v>
      </c>
      <c r="J474" s="46">
        <v>456</v>
      </c>
      <c r="K474" s="46" t="s">
        <v>976</v>
      </c>
      <c r="L474" s="46" t="s">
        <v>977</v>
      </c>
      <c r="M474" s="46" t="s">
        <v>35</v>
      </c>
    </row>
    <row r="475" spans="1:13">
      <c r="A475" s="47">
        <v>45703</v>
      </c>
      <c r="B475" s="46" t="s">
        <v>885</v>
      </c>
      <c r="C475" s="46" t="s">
        <v>886</v>
      </c>
      <c r="D475" s="46" t="s">
        <v>887</v>
      </c>
      <c r="E475" s="46" t="s">
        <v>16</v>
      </c>
      <c r="F475" s="46">
        <v>242487</v>
      </c>
      <c r="G475" s="46">
        <v>10557</v>
      </c>
      <c r="H475" s="46">
        <v>1644</v>
      </c>
      <c r="I475" s="46">
        <v>940</v>
      </c>
      <c r="J475" s="46">
        <v>476</v>
      </c>
      <c r="K475" s="46" t="s">
        <v>978</v>
      </c>
      <c r="L475" s="46" t="s">
        <v>979</v>
      </c>
      <c r="M475" s="46" t="s">
        <v>22</v>
      </c>
    </row>
    <row r="476" spans="1:13">
      <c r="A476" s="47">
        <v>45704</v>
      </c>
      <c r="B476" s="46" t="s">
        <v>885</v>
      </c>
      <c r="C476" s="46" t="s">
        <v>886</v>
      </c>
      <c r="D476" s="46" t="s">
        <v>887</v>
      </c>
      <c r="E476" s="46" t="s">
        <v>28</v>
      </c>
      <c r="F476" s="46">
        <v>236585</v>
      </c>
      <c r="G476" s="46">
        <v>7923</v>
      </c>
      <c r="H476" s="46">
        <v>1495</v>
      </c>
      <c r="I476" s="46">
        <v>848</v>
      </c>
      <c r="J476" s="46">
        <v>467</v>
      </c>
      <c r="K476" s="46" t="s">
        <v>980</v>
      </c>
      <c r="L476" s="46" t="s">
        <v>981</v>
      </c>
      <c r="M476" s="46" t="s">
        <v>35</v>
      </c>
    </row>
    <row r="477" spans="1:13">
      <c r="A477" s="47">
        <v>45705</v>
      </c>
      <c r="B477" s="46" t="s">
        <v>885</v>
      </c>
      <c r="C477" s="46" t="s">
        <v>886</v>
      </c>
      <c r="D477" s="46" t="s">
        <v>887</v>
      </c>
      <c r="E477" s="46" t="s">
        <v>25</v>
      </c>
      <c r="F477" s="46">
        <v>109605</v>
      </c>
      <c r="G477" s="46">
        <v>8284</v>
      </c>
      <c r="H477" s="46">
        <v>1935</v>
      </c>
      <c r="I477" s="46">
        <v>1132</v>
      </c>
      <c r="J477" s="46">
        <v>663</v>
      </c>
      <c r="K477" s="46" t="s">
        <v>982</v>
      </c>
      <c r="L477" s="46" t="s">
        <v>983</v>
      </c>
      <c r="M477" s="46" t="s">
        <v>46</v>
      </c>
    </row>
    <row r="478" spans="1:13">
      <c r="A478" s="47">
        <v>45706</v>
      </c>
      <c r="B478" s="46" t="s">
        <v>885</v>
      </c>
      <c r="C478" s="46" t="s">
        <v>886</v>
      </c>
      <c r="D478" s="46" t="s">
        <v>887</v>
      </c>
      <c r="E478" s="46" t="s">
        <v>16</v>
      </c>
      <c r="F478" s="46">
        <v>59185</v>
      </c>
      <c r="G478" s="46">
        <v>4390</v>
      </c>
      <c r="H478" s="46">
        <v>1044</v>
      </c>
      <c r="I478" s="46">
        <v>588</v>
      </c>
      <c r="J478" s="46">
        <v>283</v>
      </c>
      <c r="K478" s="46" t="s">
        <v>984</v>
      </c>
      <c r="L478" s="46" t="s">
        <v>985</v>
      </c>
      <c r="M478" s="46" t="s">
        <v>22</v>
      </c>
    </row>
    <row r="479" spans="1:13">
      <c r="A479" s="47">
        <v>45707</v>
      </c>
      <c r="B479" s="46" t="s">
        <v>885</v>
      </c>
      <c r="C479" s="46" t="s">
        <v>886</v>
      </c>
      <c r="D479" s="46" t="s">
        <v>887</v>
      </c>
      <c r="E479" s="46" t="s">
        <v>16</v>
      </c>
      <c r="F479" s="46">
        <v>183593</v>
      </c>
      <c r="G479" s="46">
        <v>5650</v>
      </c>
      <c r="H479" s="46">
        <v>1015</v>
      </c>
      <c r="I479" s="46">
        <v>541</v>
      </c>
      <c r="J479" s="46">
        <v>288</v>
      </c>
      <c r="K479" s="46" t="s">
        <v>986</v>
      </c>
      <c r="L479" s="46" t="s">
        <v>987</v>
      </c>
      <c r="M479" s="46" t="s">
        <v>46</v>
      </c>
    </row>
    <row r="480" spans="1:13">
      <c r="A480" s="47">
        <v>45708</v>
      </c>
      <c r="B480" s="46" t="s">
        <v>885</v>
      </c>
      <c r="C480" s="46" t="s">
        <v>886</v>
      </c>
      <c r="D480" s="46" t="s">
        <v>887</v>
      </c>
      <c r="E480" s="46" t="s">
        <v>25</v>
      </c>
      <c r="F480" s="46">
        <v>115658</v>
      </c>
      <c r="G480" s="46">
        <v>6141</v>
      </c>
      <c r="H480" s="46">
        <v>1182</v>
      </c>
      <c r="I480" s="46">
        <v>685</v>
      </c>
      <c r="J480" s="46">
        <v>302</v>
      </c>
      <c r="K480" s="46" t="s">
        <v>988</v>
      </c>
      <c r="L480" s="46" t="s">
        <v>989</v>
      </c>
      <c r="M480" s="46" t="s">
        <v>53</v>
      </c>
    </row>
    <row r="481" spans="1:13">
      <c r="A481" s="47">
        <v>45709</v>
      </c>
      <c r="B481" s="46" t="s">
        <v>885</v>
      </c>
      <c r="C481" s="46" t="s">
        <v>886</v>
      </c>
      <c r="D481" s="46" t="s">
        <v>887</v>
      </c>
      <c r="E481" s="46" t="s">
        <v>28</v>
      </c>
      <c r="F481" s="46">
        <v>125536</v>
      </c>
      <c r="G481" s="46">
        <v>6373</v>
      </c>
      <c r="H481" s="46">
        <v>1242</v>
      </c>
      <c r="I481" s="46">
        <v>763</v>
      </c>
      <c r="J481" s="46">
        <v>414</v>
      </c>
      <c r="K481" s="46" t="s">
        <v>990</v>
      </c>
      <c r="L481" s="46" t="s">
        <v>991</v>
      </c>
      <c r="M481" s="46" t="s">
        <v>53</v>
      </c>
    </row>
    <row r="482" spans="1:13">
      <c r="A482" s="47">
        <v>45710</v>
      </c>
      <c r="B482" s="46" t="s">
        <v>885</v>
      </c>
      <c r="C482" s="46" t="s">
        <v>886</v>
      </c>
      <c r="D482" s="46" t="s">
        <v>887</v>
      </c>
      <c r="E482" s="46" t="s">
        <v>28</v>
      </c>
      <c r="F482" s="46">
        <v>279784</v>
      </c>
      <c r="G482" s="46">
        <v>19574</v>
      </c>
      <c r="H482" s="46">
        <v>4822</v>
      </c>
      <c r="I482" s="46">
        <v>2939</v>
      </c>
      <c r="J482" s="46">
        <v>1343</v>
      </c>
      <c r="K482" s="46" t="s">
        <v>992</v>
      </c>
      <c r="L482" s="46" t="s">
        <v>993</v>
      </c>
      <c r="M482" s="46" t="s">
        <v>22</v>
      </c>
    </row>
    <row r="483" spans="1:13">
      <c r="A483" s="47">
        <v>45711</v>
      </c>
      <c r="B483" s="46" t="s">
        <v>885</v>
      </c>
      <c r="C483" s="46" t="s">
        <v>886</v>
      </c>
      <c r="D483" s="46" t="s">
        <v>887</v>
      </c>
      <c r="E483" s="46" t="s">
        <v>25</v>
      </c>
      <c r="F483" s="46">
        <v>141610</v>
      </c>
      <c r="G483" s="46">
        <v>8320</v>
      </c>
      <c r="H483" s="46">
        <v>1667</v>
      </c>
      <c r="I483" s="46">
        <v>1053</v>
      </c>
      <c r="J483" s="46">
        <v>595</v>
      </c>
      <c r="K483" s="46" t="s">
        <v>994</v>
      </c>
      <c r="L483" s="46" t="s">
        <v>995</v>
      </c>
      <c r="M483" s="46" t="s">
        <v>53</v>
      </c>
    </row>
    <row r="484" spans="1:13">
      <c r="A484" s="47">
        <v>45712</v>
      </c>
      <c r="B484" s="46" t="s">
        <v>885</v>
      </c>
      <c r="C484" s="46" t="s">
        <v>886</v>
      </c>
      <c r="D484" s="46" t="s">
        <v>887</v>
      </c>
      <c r="E484" s="46" t="s">
        <v>28</v>
      </c>
      <c r="F484" s="46">
        <v>145064</v>
      </c>
      <c r="G484" s="46">
        <v>7505</v>
      </c>
      <c r="H484" s="46">
        <v>1364</v>
      </c>
      <c r="I484" s="46">
        <v>661</v>
      </c>
      <c r="J484" s="46">
        <v>346</v>
      </c>
      <c r="K484" s="46" t="s">
        <v>996</v>
      </c>
      <c r="L484" s="46" t="s">
        <v>997</v>
      </c>
      <c r="M484" s="46" t="s">
        <v>53</v>
      </c>
    </row>
    <row r="485" spans="1:13">
      <c r="A485" s="47">
        <v>45713</v>
      </c>
      <c r="B485" s="46" t="s">
        <v>885</v>
      </c>
      <c r="C485" s="46" t="s">
        <v>886</v>
      </c>
      <c r="D485" s="46" t="s">
        <v>887</v>
      </c>
      <c r="E485" s="46" t="s">
        <v>16</v>
      </c>
      <c r="F485" s="46">
        <v>298028</v>
      </c>
      <c r="G485" s="46">
        <v>20642</v>
      </c>
      <c r="H485" s="46">
        <v>4696</v>
      </c>
      <c r="I485" s="46">
        <v>2781</v>
      </c>
      <c r="J485" s="46">
        <v>1630</v>
      </c>
      <c r="K485" s="46" t="s">
        <v>998</v>
      </c>
      <c r="L485" s="46" t="s">
        <v>999</v>
      </c>
      <c r="M485" s="46" t="s">
        <v>35</v>
      </c>
    </row>
    <row r="486" spans="1:13">
      <c r="A486" s="47">
        <v>45714</v>
      </c>
      <c r="B486" s="46" t="s">
        <v>885</v>
      </c>
      <c r="C486" s="46" t="s">
        <v>886</v>
      </c>
      <c r="D486" s="46" t="s">
        <v>887</v>
      </c>
      <c r="E486" s="46" t="s">
        <v>25</v>
      </c>
      <c r="F486" s="46">
        <v>82925</v>
      </c>
      <c r="G486" s="46">
        <v>5003</v>
      </c>
      <c r="H486" s="46">
        <v>1088</v>
      </c>
      <c r="I486" s="46">
        <v>544</v>
      </c>
      <c r="J486" s="46">
        <v>317</v>
      </c>
      <c r="K486" s="46" t="s">
        <v>1000</v>
      </c>
      <c r="L486" s="46" t="s">
        <v>1001</v>
      </c>
      <c r="M486" s="46" t="s">
        <v>35</v>
      </c>
    </row>
    <row r="487" spans="1:13">
      <c r="A487" s="47">
        <v>45715</v>
      </c>
      <c r="B487" s="46" t="s">
        <v>885</v>
      </c>
      <c r="C487" s="46" t="s">
        <v>886</v>
      </c>
      <c r="D487" s="46" t="s">
        <v>887</v>
      </c>
      <c r="E487" s="46" t="s">
        <v>25</v>
      </c>
      <c r="F487" s="46">
        <v>113983</v>
      </c>
      <c r="G487" s="46">
        <v>4651</v>
      </c>
      <c r="H487" s="46">
        <v>940</v>
      </c>
      <c r="I487" s="46">
        <v>445</v>
      </c>
      <c r="J487" s="46">
        <v>184</v>
      </c>
      <c r="K487" s="46" t="s">
        <v>1002</v>
      </c>
      <c r="L487" s="46" t="s">
        <v>1003</v>
      </c>
      <c r="M487" s="46" t="s">
        <v>22</v>
      </c>
    </row>
    <row r="488" spans="1:13">
      <c r="A488" s="47">
        <v>45716</v>
      </c>
      <c r="B488" s="46" t="s">
        <v>885</v>
      </c>
      <c r="C488" s="46" t="s">
        <v>886</v>
      </c>
      <c r="D488" s="46" t="s">
        <v>887</v>
      </c>
      <c r="E488" s="46" t="s">
        <v>28</v>
      </c>
      <c r="F488" s="46">
        <v>103093</v>
      </c>
      <c r="G488" s="46">
        <v>3235</v>
      </c>
      <c r="H488" s="46">
        <v>665</v>
      </c>
      <c r="I488" s="46">
        <v>347</v>
      </c>
      <c r="J488" s="46">
        <v>181</v>
      </c>
      <c r="K488" s="46" t="s">
        <v>1004</v>
      </c>
      <c r="L488" s="46" t="s">
        <v>1005</v>
      </c>
      <c r="M488" s="46" t="s">
        <v>22</v>
      </c>
    </row>
    <row r="489" spans="1:13">
      <c r="A489" s="47">
        <v>45717</v>
      </c>
      <c r="B489" s="46" t="s">
        <v>885</v>
      </c>
      <c r="C489" s="46" t="s">
        <v>886</v>
      </c>
      <c r="D489" s="46" t="s">
        <v>887</v>
      </c>
      <c r="E489" s="46" t="s">
        <v>16</v>
      </c>
      <c r="F489" s="46">
        <v>53653</v>
      </c>
      <c r="G489" s="46">
        <v>2463</v>
      </c>
      <c r="H489" s="46">
        <v>459</v>
      </c>
      <c r="I489" s="46">
        <v>282</v>
      </c>
      <c r="J489" s="46">
        <v>149</v>
      </c>
      <c r="K489" s="46" t="s">
        <v>1006</v>
      </c>
      <c r="L489" s="46" t="s">
        <v>1007</v>
      </c>
      <c r="M489" s="46" t="s">
        <v>35</v>
      </c>
    </row>
    <row r="490" spans="1:13">
      <c r="A490" s="47">
        <v>45718</v>
      </c>
      <c r="B490" s="46" t="s">
        <v>885</v>
      </c>
      <c r="C490" s="46" t="s">
        <v>886</v>
      </c>
      <c r="D490" s="46" t="s">
        <v>887</v>
      </c>
      <c r="E490" s="46" t="s">
        <v>16</v>
      </c>
      <c r="F490" s="46">
        <v>231442</v>
      </c>
      <c r="G490" s="46">
        <v>13709</v>
      </c>
      <c r="H490" s="46">
        <v>2805</v>
      </c>
      <c r="I490" s="46">
        <v>1555</v>
      </c>
      <c r="J490" s="46">
        <v>749</v>
      </c>
      <c r="K490" s="46" t="s">
        <v>1008</v>
      </c>
      <c r="L490" s="46" t="s">
        <v>1009</v>
      </c>
      <c r="M490" s="46" t="s">
        <v>19</v>
      </c>
    </row>
    <row r="491" spans="1:13">
      <c r="A491" s="47">
        <v>45719</v>
      </c>
      <c r="B491" s="46" t="s">
        <v>885</v>
      </c>
      <c r="C491" s="46" t="s">
        <v>886</v>
      </c>
      <c r="D491" s="46" t="s">
        <v>887</v>
      </c>
      <c r="E491" s="46" t="s">
        <v>28</v>
      </c>
      <c r="F491" s="46">
        <v>134246</v>
      </c>
      <c r="G491" s="46">
        <v>8250</v>
      </c>
      <c r="H491" s="46">
        <v>1329</v>
      </c>
      <c r="I491" s="46">
        <v>727</v>
      </c>
      <c r="J491" s="46">
        <v>429</v>
      </c>
      <c r="K491" s="46" t="s">
        <v>1010</v>
      </c>
      <c r="L491" s="46" t="s">
        <v>1011</v>
      </c>
      <c r="M491" s="46" t="s">
        <v>19</v>
      </c>
    </row>
    <row r="492" spans="1:13">
      <c r="A492" s="47">
        <v>45720</v>
      </c>
      <c r="B492" s="46" t="s">
        <v>885</v>
      </c>
      <c r="C492" s="46" t="s">
        <v>886</v>
      </c>
      <c r="D492" s="46" t="s">
        <v>887</v>
      </c>
      <c r="E492" s="46" t="s">
        <v>16</v>
      </c>
      <c r="F492" s="46">
        <v>131176</v>
      </c>
      <c r="G492" s="46">
        <v>5409</v>
      </c>
      <c r="H492" s="46">
        <v>1273</v>
      </c>
      <c r="I492" s="46">
        <v>750</v>
      </c>
      <c r="J492" s="46">
        <v>449</v>
      </c>
      <c r="K492" s="46" t="s">
        <v>1012</v>
      </c>
      <c r="L492" s="46" t="s">
        <v>1013</v>
      </c>
      <c r="M492" s="46" t="s">
        <v>53</v>
      </c>
    </row>
    <row r="493" spans="1:13">
      <c r="A493" s="47">
        <v>45721</v>
      </c>
      <c r="B493" s="46" t="s">
        <v>885</v>
      </c>
      <c r="C493" s="46" t="s">
        <v>886</v>
      </c>
      <c r="D493" s="46" t="s">
        <v>887</v>
      </c>
      <c r="E493" s="46" t="s">
        <v>28</v>
      </c>
      <c r="F493" s="46">
        <v>75507</v>
      </c>
      <c r="G493" s="46">
        <v>4191</v>
      </c>
      <c r="H493" s="46">
        <v>800</v>
      </c>
      <c r="I493" s="46">
        <v>373</v>
      </c>
      <c r="J493" s="46">
        <v>220</v>
      </c>
      <c r="K493" s="46" t="s">
        <v>1014</v>
      </c>
      <c r="L493" s="46" t="s">
        <v>1015</v>
      </c>
      <c r="M493" s="46" t="s">
        <v>53</v>
      </c>
    </row>
    <row r="494" spans="1:13">
      <c r="A494" s="47">
        <v>45722</v>
      </c>
      <c r="B494" s="46" t="s">
        <v>885</v>
      </c>
      <c r="C494" s="46" t="s">
        <v>886</v>
      </c>
      <c r="D494" s="46" t="s">
        <v>887</v>
      </c>
      <c r="E494" s="46" t="s">
        <v>25</v>
      </c>
      <c r="F494" s="46">
        <v>188977</v>
      </c>
      <c r="G494" s="46">
        <v>11714</v>
      </c>
      <c r="H494" s="46">
        <v>2647</v>
      </c>
      <c r="I494" s="46">
        <v>1690</v>
      </c>
      <c r="J494" s="46">
        <v>798</v>
      </c>
      <c r="K494" s="46" t="s">
        <v>1016</v>
      </c>
      <c r="L494" s="46" t="s">
        <v>1017</v>
      </c>
      <c r="M494" s="46" t="s">
        <v>35</v>
      </c>
    </row>
    <row r="495" spans="1:13">
      <c r="A495" s="47">
        <v>45723</v>
      </c>
      <c r="B495" s="46" t="s">
        <v>885</v>
      </c>
      <c r="C495" s="46" t="s">
        <v>886</v>
      </c>
      <c r="D495" s="46" t="s">
        <v>887</v>
      </c>
      <c r="E495" s="46" t="s">
        <v>25</v>
      </c>
      <c r="F495" s="46">
        <v>252677</v>
      </c>
      <c r="G495" s="46">
        <v>9888</v>
      </c>
      <c r="H495" s="46">
        <v>1997</v>
      </c>
      <c r="I495" s="46">
        <v>964</v>
      </c>
      <c r="J495" s="46">
        <v>578</v>
      </c>
      <c r="K495" s="46" t="s">
        <v>1018</v>
      </c>
      <c r="L495" s="46" t="s">
        <v>1019</v>
      </c>
      <c r="M495" s="46" t="s">
        <v>22</v>
      </c>
    </row>
    <row r="496" spans="1:13">
      <c r="A496" s="47">
        <v>45724</v>
      </c>
      <c r="B496" s="46" t="s">
        <v>885</v>
      </c>
      <c r="C496" s="46" t="s">
        <v>886</v>
      </c>
      <c r="D496" s="46" t="s">
        <v>887</v>
      </c>
      <c r="E496" s="46" t="s">
        <v>16</v>
      </c>
      <c r="F496" s="46">
        <v>146366</v>
      </c>
      <c r="G496" s="46">
        <v>8269</v>
      </c>
      <c r="H496" s="46">
        <v>1633</v>
      </c>
      <c r="I496" s="46">
        <v>979</v>
      </c>
      <c r="J496" s="46">
        <v>429</v>
      </c>
      <c r="K496" s="46" t="s">
        <v>1020</v>
      </c>
      <c r="L496" s="46" t="s">
        <v>1021</v>
      </c>
      <c r="M496" s="46" t="s">
        <v>35</v>
      </c>
    </row>
    <row r="497" spans="1:13">
      <c r="A497" s="47">
        <v>45725</v>
      </c>
      <c r="B497" s="46" t="s">
        <v>885</v>
      </c>
      <c r="C497" s="46" t="s">
        <v>886</v>
      </c>
      <c r="D497" s="46" t="s">
        <v>887</v>
      </c>
      <c r="E497" s="46" t="s">
        <v>28</v>
      </c>
      <c r="F497" s="46">
        <v>134757</v>
      </c>
      <c r="G497" s="46">
        <v>6182</v>
      </c>
      <c r="H497" s="46">
        <v>1265</v>
      </c>
      <c r="I497" s="46">
        <v>682</v>
      </c>
      <c r="J497" s="46">
        <v>294</v>
      </c>
      <c r="K497" s="46" t="s">
        <v>1022</v>
      </c>
      <c r="L497" s="46" t="s">
        <v>1023</v>
      </c>
      <c r="M497" s="46" t="s">
        <v>19</v>
      </c>
    </row>
    <row r="498" spans="1:13">
      <c r="A498" s="47">
        <v>45726</v>
      </c>
      <c r="B498" s="46" t="s">
        <v>885</v>
      </c>
      <c r="C498" s="46" t="s">
        <v>886</v>
      </c>
      <c r="D498" s="46" t="s">
        <v>887</v>
      </c>
      <c r="E498" s="46" t="s">
        <v>25</v>
      </c>
      <c r="F498" s="46">
        <v>258417</v>
      </c>
      <c r="G498" s="46">
        <v>18909</v>
      </c>
      <c r="H498" s="46">
        <v>4020</v>
      </c>
      <c r="I498" s="46">
        <v>2269</v>
      </c>
      <c r="J498" s="46">
        <v>1059</v>
      </c>
      <c r="K498" s="46" t="s">
        <v>1024</v>
      </c>
      <c r="L498" s="46" t="s">
        <v>1025</v>
      </c>
      <c r="M498" s="46" t="s">
        <v>22</v>
      </c>
    </row>
    <row r="499" spans="1:13">
      <c r="A499" s="47">
        <v>45727</v>
      </c>
      <c r="B499" s="46" t="s">
        <v>885</v>
      </c>
      <c r="C499" s="46" t="s">
        <v>886</v>
      </c>
      <c r="D499" s="46" t="s">
        <v>887</v>
      </c>
      <c r="E499" s="46" t="s">
        <v>25</v>
      </c>
      <c r="F499" s="46">
        <v>209874</v>
      </c>
      <c r="G499" s="46">
        <v>11904</v>
      </c>
      <c r="H499" s="46">
        <v>2886</v>
      </c>
      <c r="I499" s="46">
        <v>1634</v>
      </c>
      <c r="J499" s="46">
        <v>908</v>
      </c>
      <c r="K499" s="46" t="s">
        <v>1026</v>
      </c>
      <c r="L499" s="46" t="s">
        <v>1027</v>
      </c>
      <c r="M499" s="46" t="s">
        <v>46</v>
      </c>
    </row>
    <row r="500" spans="1:13">
      <c r="A500" s="47">
        <v>45728</v>
      </c>
      <c r="B500" s="46" t="s">
        <v>885</v>
      </c>
      <c r="C500" s="46" t="s">
        <v>886</v>
      </c>
      <c r="D500" s="46" t="s">
        <v>887</v>
      </c>
      <c r="E500" s="46" t="s">
        <v>16</v>
      </c>
      <c r="F500" s="46">
        <v>142999</v>
      </c>
      <c r="G500" s="46">
        <v>4752</v>
      </c>
      <c r="H500" s="46">
        <v>762</v>
      </c>
      <c r="I500" s="46">
        <v>444</v>
      </c>
      <c r="J500" s="46">
        <v>200</v>
      </c>
      <c r="K500" s="46" t="s">
        <v>1028</v>
      </c>
      <c r="L500" s="46" t="s">
        <v>1029</v>
      </c>
      <c r="M500" s="46" t="s">
        <v>46</v>
      </c>
    </row>
    <row r="501" spans="1:13">
      <c r="A501" s="47">
        <v>45729</v>
      </c>
      <c r="B501" s="46" t="s">
        <v>885</v>
      </c>
      <c r="C501" s="46" t="s">
        <v>886</v>
      </c>
      <c r="D501" s="46" t="s">
        <v>887</v>
      </c>
      <c r="E501" s="46" t="s">
        <v>16</v>
      </c>
      <c r="F501" s="46">
        <v>250958</v>
      </c>
      <c r="G501" s="46">
        <v>19914</v>
      </c>
      <c r="H501" s="46">
        <v>4316</v>
      </c>
      <c r="I501" s="46">
        <v>2505</v>
      </c>
      <c r="J501" s="46">
        <v>1303</v>
      </c>
      <c r="K501" s="46" t="s">
        <v>1030</v>
      </c>
      <c r="L501" s="46" t="s">
        <v>1031</v>
      </c>
      <c r="M501" s="46" t="s">
        <v>46</v>
      </c>
    </row>
    <row r="502" spans="1:13">
      <c r="A502" s="47">
        <v>45730</v>
      </c>
      <c r="B502" s="46" t="s">
        <v>885</v>
      </c>
      <c r="C502" s="46" t="s">
        <v>886</v>
      </c>
      <c r="D502" s="46" t="s">
        <v>887</v>
      </c>
      <c r="E502" s="46" t="s">
        <v>25</v>
      </c>
      <c r="F502" s="46">
        <v>286615</v>
      </c>
      <c r="G502" s="46">
        <v>14860</v>
      </c>
      <c r="H502" s="46">
        <v>3405</v>
      </c>
      <c r="I502" s="46">
        <v>1582</v>
      </c>
      <c r="J502" s="46">
        <v>809</v>
      </c>
      <c r="K502" s="46" t="s">
        <v>1032</v>
      </c>
      <c r="L502" s="46" t="s">
        <v>1033</v>
      </c>
      <c r="M502" s="46" t="s">
        <v>22</v>
      </c>
    </row>
    <row r="503" spans="1:13">
      <c r="A503" s="47">
        <v>45731</v>
      </c>
      <c r="B503" s="46" t="s">
        <v>885</v>
      </c>
      <c r="C503" s="46" t="s">
        <v>886</v>
      </c>
      <c r="D503" s="46" t="s">
        <v>887</v>
      </c>
      <c r="E503" s="46" t="s">
        <v>16</v>
      </c>
      <c r="F503" s="46">
        <v>184520</v>
      </c>
      <c r="G503" s="46">
        <v>9112</v>
      </c>
      <c r="H503" s="46">
        <v>2248</v>
      </c>
      <c r="I503" s="46">
        <v>1022</v>
      </c>
      <c r="J503" s="46">
        <v>476</v>
      </c>
      <c r="K503" s="46" t="s">
        <v>1034</v>
      </c>
      <c r="L503" s="46" t="s">
        <v>1035</v>
      </c>
      <c r="M503" s="46" t="s">
        <v>22</v>
      </c>
    </row>
    <row r="504" spans="1:13">
      <c r="A504" s="47">
        <v>45732</v>
      </c>
      <c r="B504" s="46" t="s">
        <v>885</v>
      </c>
      <c r="C504" s="46" t="s">
        <v>886</v>
      </c>
      <c r="D504" s="46" t="s">
        <v>887</v>
      </c>
      <c r="E504" s="46" t="s">
        <v>25</v>
      </c>
      <c r="F504" s="46">
        <v>143329</v>
      </c>
      <c r="G504" s="46">
        <v>8242</v>
      </c>
      <c r="H504" s="46">
        <v>2029</v>
      </c>
      <c r="I504" s="46">
        <v>1135</v>
      </c>
      <c r="J504" s="46">
        <v>533</v>
      </c>
      <c r="K504" s="46" t="s">
        <v>1036</v>
      </c>
      <c r="L504" s="46" t="s">
        <v>1037</v>
      </c>
      <c r="M504" s="46" t="s">
        <v>46</v>
      </c>
    </row>
    <row r="505" spans="1:13">
      <c r="A505" s="47">
        <v>45733</v>
      </c>
      <c r="B505" s="46" t="s">
        <v>885</v>
      </c>
      <c r="C505" s="46" t="s">
        <v>886</v>
      </c>
      <c r="D505" s="46" t="s">
        <v>887</v>
      </c>
      <c r="E505" s="46" t="s">
        <v>16</v>
      </c>
      <c r="F505" s="46">
        <v>265195</v>
      </c>
      <c r="G505" s="46">
        <v>10327</v>
      </c>
      <c r="H505" s="46">
        <v>2049</v>
      </c>
      <c r="I505" s="46">
        <v>1182</v>
      </c>
      <c r="J505" s="46">
        <v>589</v>
      </c>
      <c r="K505" s="46" t="s">
        <v>1038</v>
      </c>
      <c r="L505" s="46" t="s">
        <v>1039</v>
      </c>
      <c r="M505" s="46" t="s">
        <v>53</v>
      </c>
    </row>
    <row r="506" spans="1:13">
      <c r="A506" s="47">
        <v>45734</v>
      </c>
      <c r="B506" s="46" t="s">
        <v>885</v>
      </c>
      <c r="C506" s="46" t="s">
        <v>886</v>
      </c>
      <c r="D506" s="46" t="s">
        <v>887</v>
      </c>
      <c r="E506" s="46" t="s">
        <v>16</v>
      </c>
      <c r="F506" s="46">
        <v>122661</v>
      </c>
      <c r="G506" s="46">
        <v>9777</v>
      </c>
      <c r="H506" s="46">
        <v>2435</v>
      </c>
      <c r="I506" s="46">
        <v>1113</v>
      </c>
      <c r="J506" s="46">
        <v>594</v>
      </c>
      <c r="K506" s="46" t="s">
        <v>1040</v>
      </c>
      <c r="L506" s="46" t="s">
        <v>1041</v>
      </c>
      <c r="M506" s="46" t="s">
        <v>53</v>
      </c>
    </row>
    <row r="507" spans="1:13">
      <c r="A507" s="47">
        <v>45735</v>
      </c>
      <c r="B507" s="46" t="s">
        <v>885</v>
      </c>
      <c r="C507" s="46" t="s">
        <v>886</v>
      </c>
      <c r="D507" s="46" t="s">
        <v>887</v>
      </c>
      <c r="E507" s="46" t="s">
        <v>28</v>
      </c>
      <c r="F507" s="46">
        <v>256063</v>
      </c>
      <c r="G507" s="46">
        <v>19097</v>
      </c>
      <c r="H507" s="46">
        <v>2939</v>
      </c>
      <c r="I507" s="46">
        <v>1547</v>
      </c>
      <c r="J507" s="46">
        <v>914</v>
      </c>
      <c r="K507" s="46" t="s">
        <v>1042</v>
      </c>
      <c r="L507" s="46" t="s">
        <v>1043</v>
      </c>
      <c r="M507" s="46" t="s">
        <v>35</v>
      </c>
    </row>
    <row r="508" spans="1:13">
      <c r="A508" s="47">
        <v>45736</v>
      </c>
      <c r="B508" s="46" t="s">
        <v>885</v>
      </c>
      <c r="C508" s="46" t="s">
        <v>886</v>
      </c>
      <c r="D508" s="46" t="s">
        <v>887</v>
      </c>
      <c r="E508" s="46" t="s">
        <v>25</v>
      </c>
      <c r="F508" s="46">
        <v>107546</v>
      </c>
      <c r="G508" s="46">
        <v>4153</v>
      </c>
      <c r="H508" s="46">
        <v>907</v>
      </c>
      <c r="I508" s="46">
        <v>465</v>
      </c>
      <c r="J508" s="46">
        <v>194</v>
      </c>
      <c r="K508" s="46" t="s">
        <v>1044</v>
      </c>
      <c r="L508" s="46" t="s">
        <v>1045</v>
      </c>
      <c r="M508" s="46" t="s">
        <v>19</v>
      </c>
    </row>
    <row r="509" spans="1:13">
      <c r="A509" s="47">
        <v>45737</v>
      </c>
      <c r="B509" s="46" t="s">
        <v>885</v>
      </c>
      <c r="C509" s="46" t="s">
        <v>886</v>
      </c>
      <c r="D509" s="46" t="s">
        <v>887</v>
      </c>
      <c r="E509" s="46" t="s">
        <v>28</v>
      </c>
      <c r="F509" s="46">
        <v>171811</v>
      </c>
      <c r="G509" s="46">
        <v>7500</v>
      </c>
      <c r="H509" s="46">
        <v>1283</v>
      </c>
      <c r="I509" s="46">
        <v>812</v>
      </c>
      <c r="J509" s="46">
        <v>351</v>
      </c>
      <c r="K509" s="46" t="s">
        <v>1046</v>
      </c>
      <c r="L509" s="46" t="s">
        <v>1047</v>
      </c>
      <c r="M509" s="46" t="s">
        <v>46</v>
      </c>
    </row>
    <row r="510" spans="1:13">
      <c r="A510" s="47">
        <v>45738</v>
      </c>
      <c r="B510" s="46" t="s">
        <v>885</v>
      </c>
      <c r="C510" s="46" t="s">
        <v>886</v>
      </c>
      <c r="D510" s="46" t="s">
        <v>887</v>
      </c>
      <c r="E510" s="46" t="s">
        <v>28</v>
      </c>
      <c r="F510" s="46">
        <v>299755</v>
      </c>
      <c r="G510" s="46">
        <v>10495</v>
      </c>
      <c r="H510" s="46">
        <v>1933</v>
      </c>
      <c r="I510" s="46">
        <v>948</v>
      </c>
      <c r="J510" s="46">
        <v>547</v>
      </c>
      <c r="K510" s="46" t="s">
        <v>1048</v>
      </c>
      <c r="L510" s="46" t="s">
        <v>1049</v>
      </c>
      <c r="M510" s="46" t="s">
        <v>35</v>
      </c>
    </row>
    <row r="511" spans="1:13">
      <c r="A511" s="47">
        <v>45739</v>
      </c>
      <c r="B511" s="46" t="s">
        <v>885</v>
      </c>
      <c r="C511" s="46" t="s">
        <v>886</v>
      </c>
      <c r="D511" s="46" t="s">
        <v>887</v>
      </c>
      <c r="E511" s="46" t="s">
        <v>28</v>
      </c>
      <c r="F511" s="46">
        <v>196757</v>
      </c>
      <c r="G511" s="46">
        <v>9869</v>
      </c>
      <c r="H511" s="46">
        <v>2126</v>
      </c>
      <c r="I511" s="46">
        <v>1008</v>
      </c>
      <c r="J511" s="46">
        <v>595</v>
      </c>
      <c r="K511" s="46" t="s">
        <v>1050</v>
      </c>
      <c r="L511" s="46" t="s">
        <v>1051</v>
      </c>
      <c r="M511" s="46" t="s">
        <v>22</v>
      </c>
    </row>
    <row r="512" spans="1:13">
      <c r="A512" s="47">
        <v>45740</v>
      </c>
      <c r="B512" s="46" t="s">
        <v>885</v>
      </c>
      <c r="C512" s="46" t="s">
        <v>886</v>
      </c>
      <c r="D512" s="46" t="s">
        <v>887</v>
      </c>
      <c r="E512" s="46" t="s">
        <v>25</v>
      </c>
      <c r="F512" s="46">
        <v>99084</v>
      </c>
      <c r="G512" s="46">
        <v>7882</v>
      </c>
      <c r="H512" s="46">
        <v>1585</v>
      </c>
      <c r="I512" s="46">
        <v>875</v>
      </c>
      <c r="J512" s="46">
        <v>446</v>
      </c>
      <c r="K512" s="46" t="s">
        <v>1052</v>
      </c>
      <c r="L512" s="46" t="s">
        <v>1053</v>
      </c>
      <c r="M512" s="46" t="s">
        <v>46</v>
      </c>
    </row>
    <row r="513" spans="1:13">
      <c r="A513" s="47">
        <v>45741</v>
      </c>
      <c r="B513" s="46" t="s">
        <v>885</v>
      </c>
      <c r="C513" s="46" t="s">
        <v>886</v>
      </c>
      <c r="D513" s="46" t="s">
        <v>887</v>
      </c>
      <c r="E513" s="46" t="s">
        <v>25</v>
      </c>
      <c r="F513" s="46">
        <v>151038</v>
      </c>
      <c r="G513" s="46">
        <v>4667</v>
      </c>
      <c r="H513" s="46">
        <v>856</v>
      </c>
      <c r="I513" s="46">
        <v>417</v>
      </c>
      <c r="J513" s="46">
        <v>238</v>
      </c>
      <c r="K513" s="46" t="s">
        <v>1054</v>
      </c>
      <c r="L513" s="46" t="s">
        <v>1055</v>
      </c>
      <c r="M513" s="46" t="s">
        <v>46</v>
      </c>
    </row>
    <row r="514" spans="1:13">
      <c r="A514" s="47">
        <v>45742</v>
      </c>
      <c r="B514" s="46" t="s">
        <v>885</v>
      </c>
      <c r="C514" s="46" t="s">
        <v>886</v>
      </c>
      <c r="D514" s="46" t="s">
        <v>887</v>
      </c>
      <c r="E514" s="46" t="s">
        <v>25</v>
      </c>
      <c r="F514" s="46">
        <v>261569</v>
      </c>
      <c r="G514" s="46">
        <v>10863</v>
      </c>
      <c r="H514" s="46">
        <v>2582</v>
      </c>
      <c r="I514" s="46">
        <v>1521</v>
      </c>
      <c r="J514" s="46">
        <v>869</v>
      </c>
      <c r="K514" s="46" t="s">
        <v>1056</v>
      </c>
      <c r="L514" s="46" t="s">
        <v>1057</v>
      </c>
      <c r="M514" s="46" t="s">
        <v>46</v>
      </c>
    </row>
    <row r="515" spans="1:13">
      <c r="A515" s="47">
        <v>45743</v>
      </c>
      <c r="B515" s="46" t="s">
        <v>885</v>
      </c>
      <c r="C515" s="46" t="s">
        <v>886</v>
      </c>
      <c r="D515" s="46" t="s">
        <v>887</v>
      </c>
      <c r="E515" s="46" t="s">
        <v>25</v>
      </c>
      <c r="F515" s="46">
        <v>242681</v>
      </c>
      <c r="G515" s="46">
        <v>16801</v>
      </c>
      <c r="H515" s="46">
        <v>3043</v>
      </c>
      <c r="I515" s="46">
        <v>1834</v>
      </c>
      <c r="J515" s="46">
        <v>1029</v>
      </c>
      <c r="K515" s="46" t="s">
        <v>1058</v>
      </c>
      <c r="L515" s="46" t="s">
        <v>1059</v>
      </c>
      <c r="M515" s="46" t="s">
        <v>46</v>
      </c>
    </row>
    <row r="516" spans="1:13">
      <c r="A516" s="47">
        <v>45744</v>
      </c>
      <c r="B516" s="46" t="s">
        <v>885</v>
      </c>
      <c r="C516" s="46" t="s">
        <v>886</v>
      </c>
      <c r="D516" s="46" t="s">
        <v>887</v>
      </c>
      <c r="E516" s="46" t="s">
        <v>16</v>
      </c>
      <c r="F516" s="46">
        <v>141344</v>
      </c>
      <c r="G516" s="46">
        <v>6626</v>
      </c>
      <c r="H516" s="46">
        <v>1362</v>
      </c>
      <c r="I516" s="46">
        <v>827</v>
      </c>
      <c r="J516" s="46">
        <v>451</v>
      </c>
      <c r="K516" s="46" t="s">
        <v>1060</v>
      </c>
      <c r="L516" s="46" t="s">
        <v>1061</v>
      </c>
      <c r="M516" s="46" t="s">
        <v>53</v>
      </c>
    </row>
    <row r="517" spans="1:13">
      <c r="A517" s="47">
        <v>45745</v>
      </c>
      <c r="B517" s="46" t="s">
        <v>885</v>
      </c>
      <c r="C517" s="46" t="s">
        <v>886</v>
      </c>
      <c r="D517" s="46" t="s">
        <v>887</v>
      </c>
      <c r="E517" s="46" t="s">
        <v>25</v>
      </c>
      <c r="F517" s="46">
        <v>229820</v>
      </c>
      <c r="G517" s="46">
        <v>11047</v>
      </c>
      <c r="H517" s="46">
        <v>2019</v>
      </c>
      <c r="I517" s="46">
        <v>1120</v>
      </c>
      <c r="J517" s="46">
        <v>565</v>
      </c>
      <c r="K517" s="46" t="s">
        <v>1062</v>
      </c>
      <c r="L517" s="46" t="s">
        <v>1063</v>
      </c>
      <c r="M517" s="46" t="s">
        <v>35</v>
      </c>
    </row>
    <row r="518" spans="1:13">
      <c r="A518" s="47">
        <v>45746</v>
      </c>
      <c r="B518" s="46" t="s">
        <v>885</v>
      </c>
      <c r="C518" s="46" t="s">
        <v>886</v>
      </c>
      <c r="D518" s="46" t="s">
        <v>887</v>
      </c>
      <c r="E518" s="46" t="s">
        <v>28</v>
      </c>
      <c r="F518" s="46">
        <v>67576</v>
      </c>
      <c r="G518" s="46">
        <v>2896</v>
      </c>
      <c r="H518" s="46">
        <v>633</v>
      </c>
      <c r="I518" s="46">
        <v>348</v>
      </c>
      <c r="J518" s="46">
        <v>156</v>
      </c>
      <c r="K518" s="46" t="s">
        <v>1064</v>
      </c>
      <c r="L518" s="46" t="s">
        <v>1065</v>
      </c>
      <c r="M518" s="46" t="s">
        <v>22</v>
      </c>
    </row>
    <row r="519" spans="1:13">
      <c r="A519" s="47">
        <v>45747</v>
      </c>
      <c r="B519" s="46" t="s">
        <v>885</v>
      </c>
      <c r="C519" s="46" t="s">
        <v>886</v>
      </c>
      <c r="D519" s="46" t="s">
        <v>887</v>
      </c>
      <c r="E519" s="46" t="s">
        <v>25</v>
      </c>
      <c r="F519" s="46">
        <v>203412</v>
      </c>
      <c r="G519" s="46">
        <v>13404</v>
      </c>
      <c r="H519" s="46">
        <v>3282</v>
      </c>
      <c r="I519" s="46">
        <v>1607</v>
      </c>
      <c r="J519" s="46">
        <v>645</v>
      </c>
      <c r="K519" s="46" t="s">
        <v>1066</v>
      </c>
      <c r="L519" s="46" t="s">
        <v>1067</v>
      </c>
      <c r="M519" s="46" t="s">
        <v>22</v>
      </c>
    </row>
    <row r="520" spans="1:13">
      <c r="A520" s="47">
        <v>45748</v>
      </c>
      <c r="B520" s="46" t="s">
        <v>885</v>
      </c>
      <c r="C520" s="46" t="s">
        <v>886</v>
      </c>
      <c r="D520" s="46" t="s">
        <v>887</v>
      </c>
      <c r="E520" s="46" t="s">
        <v>25</v>
      </c>
      <c r="F520" s="46">
        <v>188004</v>
      </c>
      <c r="G520" s="46">
        <v>6449</v>
      </c>
      <c r="H520" s="46">
        <v>1209</v>
      </c>
      <c r="I520" s="46">
        <v>590</v>
      </c>
      <c r="J520" s="46">
        <v>328</v>
      </c>
      <c r="K520" s="46" t="s">
        <v>1068</v>
      </c>
      <c r="L520" s="46" t="s">
        <v>1069</v>
      </c>
      <c r="M520" s="46" t="s">
        <v>19</v>
      </c>
    </row>
    <row r="521" spans="1:13">
      <c r="A521" s="47">
        <v>45749</v>
      </c>
      <c r="B521" s="46" t="s">
        <v>885</v>
      </c>
      <c r="C521" s="46" t="s">
        <v>886</v>
      </c>
      <c r="D521" s="46" t="s">
        <v>887</v>
      </c>
      <c r="E521" s="46" t="s">
        <v>25</v>
      </c>
      <c r="F521" s="46">
        <v>126338</v>
      </c>
      <c r="G521" s="46">
        <v>5512</v>
      </c>
      <c r="H521" s="46">
        <v>1277</v>
      </c>
      <c r="I521" s="46">
        <v>670</v>
      </c>
      <c r="J521" s="46">
        <v>387</v>
      </c>
      <c r="K521" s="46" t="s">
        <v>1070</v>
      </c>
      <c r="L521" s="46" t="s">
        <v>1071</v>
      </c>
      <c r="M521" s="46" t="s">
        <v>46</v>
      </c>
    </row>
    <row r="522" spans="1:13">
      <c r="A522" s="47">
        <v>45750</v>
      </c>
      <c r="B522" s="46" t="s">
        <v>885</v>
      </c>
      <c r="C522" s="46" t="s">
        <v>886</v>
      </c>
      <c r="D522" s="46" t="s">
        <v>887</v>
      </c>
      <c r="E522" s="46" t="s">
        <v>25</v>
      </c>
      <c r="F522" s="46">
        <v>183191</v>
      </c>
      <c r="G522" s="46">
        <v>6099</v>
      </c>
      <c r="H522" s="46">
        <v>1415</v>
      </c>
      <c r="I522" s="46">
        <v>770</v>
      </c>
      <c r="J522" s="46">
        <v>397</v>
      </c>
      <c r="K522" s="46" t="s">
        <v>1072</v>
      </c>
      <c r="L522" s="46" t="s">
        <v>1073</v>
      </c>
      <c r="M522" s="46" t="s">
        <v>22</v>
      </c>
    </row>
    <row r="523" spans="1:13">
      <c r="A523" s="47">
        <v>45751</v>
      </c>
      <c r="B523" s="46" t="s">
        <v>885</v>
      </c>
      <c r="C523" s="46" t="s">
        <v>886</v>
      </c>
      <c r="D523" s="46" t="s">
        <v>887</v>
      </c>
      <c r="E523" s="46" t="s">
        <v>25</v>
      </c>
      <c r="F523" s="46">
        <v>84849</v>
      </c>
      <c r="G523" s="46">
        <v>3217</v>
      </c>
      <c r="H523" s="46">
        <v>556</v>
      </c>
      <c r="I523" s="46">
        <v>340</v>
      </c>
      <c r="J523" s="46">
        <v>176</v>
      </c>
      <c r="K523" s="46" t="s">
        <v>1074</v>
      </c>
      <c r="L523" s="46" t="s">
        <v>1075</v>
      </c>
      <c r="M523" s="46" t="s">
        <v>46</v>
      </c>
    </row>
    <row r="524" spans="1:13">
      <c r="A524" s="47">
        <v>45752</v>
      </c>
      <c r="B524" s="46" t="s">
        <v>885</v>
      </c>
      <c r="C524" s="46" t="s">
        <v>886</v>
      </c>
      <c r="D524" s="46" t="s">
        <v>887</v>
      </c>
      <c r="E524" s="46" t="s">
        <v>28</v>
      </c>
      <c r="F524" s="46">
        <v>197504</v>
      </c>
      <c r="G524" s="46">
        <v>8509</v>
      </c>
      <c r="H524" s="46">
        <v>1516</v>
      </c>
      <c r="I524" s="46">
        <v>789</v>
      </c>
      <c r="J524" s="46">
        <v>455</v>
      </c>
      <c r="K524" s="46" t="s">
        <v>1076</v>
      </c>
      <c r="L524" s="46" t="s">
        <v>1077</v>
      </c>
      <c r="M524" s="46" t="s">
        <v>46</v>
      </c>
    </row>
    <row r="525" spans="1:13">
      <c r="A525" s="47">
        <v>45753</v>
      </c>
      <c r="B525" s="46" t="s">
        <v>885</v>
      </c>
      <c r="C525" s="46" t="s">
        <v>886</v>
      </c>
      <c r="D525" s="46" t="s">
        <v>887</v>
      </c>
      <c r="E525" s="46" t="s">
        <v>28</v>
      </c>
      <c r="F525" s="46">
        <v>69154</v>
      </c>
      <c r="G525" s="46">
        <v>4707</v>
      </c>
      <c r="H525" s="46">
        <v>1042</v>
      </c>
      <c r="I525" s="46">
        <v>628</v>
      </c>
      <c r="J525" s="46">
        <v>284</v>
      </c>
      <c r="K525" s="46" t="s">
        <v>1078</v>
      </c>
      <c r="L525" s="46" t="s">
        <v>1079</v>
      </c>
      <c r="M525" s="46" t="s">
        <v>19</v>
      </c>
    </row>
    <row r="526" spans="1:13">
      <c r="A526" s="47">
        <v>45754</v>
      </c>
      <c r="B526" s="46" t="s">
        <v>885</v>
      </c>
      <c r="C526" s="46" t="s">
        <v>886</v>
      </c>
      <c r="D526" s="46" t="s">
        <v>887</v>
      </c>
      <c r="E526" s="46" t="s">
        <v>25</v>
      </c>
      <c r="F526" s="46">
        <v>289761</v>
      </c>
      <c r="G526" s="46">
        <v>22640</v>
      </c>
      <c r="H526" s="46">
        <v>4750</v>
      </c>
      <c r="I526" s="46">
        <v>2972</v>
      </c>
      <c r="J526" s="46">
        <v>1259</v>
      </c>
      <c r="K526" s="46" t="s">
        <v>1080</v>
      </c>
      <c r="L526" s="46" t="s">
        <v>1081</v>
      </c>
      <c r="M526" s="46" t="s">
        <v>46</v>
      </c>
    </row>
    <row r="527" spans="1:13">
      <c r="A527" s="47">
        <v>45755</v>
      </c>
      <c r="B527" s="46" t="s">
        <v>885</v>
      </c>
      <c r="C527" s="46" t="s">
        <v>886</v>
      </c>
      <c r="D527" s="46" t="s">
        <v>887</v>
      </c>
      <c r="E527" s="46" t="s">
        <v>25</v>
      </c>
      <c r="F527" s="46">
        <v>110803</v>
      </c>
      <c r="G527" s="46">
        <v>4456</v>
      </c>
      <c r="H527" s="46">
        <v>876</v>
      </c>
      <c r="I527" s="46">
        <v>468</v>
      </c>
      <c r="J527" s="46">
        <v>219</v>
      </c>
      <c r="K527" s="46" t="s">
        <v>1082</v>
      </c>
      <c r="L527" s="46" t="s">
        <v>1083</v>
      </c>
      <c r="M527" s="46" t="s">
        <v>22</v>
      </c>
    </row>
    <row r="528" spans="1:13">
      <c r="A528" s="47">
        <v>45756</v>
      </c>
      <c r="B528" s="46" t="s">
        <v>885</v>
      </c>
      <c r="C528" s="46" t="s">
        <v>886</v>
      </c>
      <c r="D528" s="46" t="s">
        <v>887</v>
      </c>
      <c r="E528" s="46" t="s">
        <v>25</v>
      </c>
      <c r="F528" s="46">
        <v>239425</v>
      </c>
      <c r="G528" s="46">
        <v>15902</v>
      </c>
      <c r="H528" s="46">
        <v>2926</v>
      </c>
      <c r="I528" s="46">
        <v>1870</v>
      </c>
      <c r="J528" s="46">
        <v>851</v>
      </c>
      <c r="K528" s="46" t="s">
        <v>1084</v>
      </c>
      <c r="L528" s="46" t="s">
        <v>1085</v>
      </c>
      <c r="M528" s="46" t="s">
        <v>22</v>
      </c>
    </row>
    <row r="529" spans="1:13">
      <c r="A529" s="47">
        <v>45757</v>
      </c>
      <c r="B529" s="46" t="s">
        <v>885</v>
      </c>
      <c r="C529" s="46" t="s">
        <v>886</v>
      </c>
      <c r="D529" s="46" t="s">
        <v>887</v>
      </c>
      <c r="E529" s="46" t="s">
        <v>16</v>
      </c>
      <c r="F529" s="46">
        <v>70240</v>
      </c>
      <c r="G529" s="46">
        <v>5540</v>
      </c>
      <c r="H529" s="46">
        <v>925</v>
      </c>
      <c r="I529" s="46">
        <v>577</v>
      </c>
      <c r="J529" s="46">
        <v>307</v>
      </c>
      <c r="K529" s="46" t="s">
        <v>1086</v>
      </c>
      <c r="L529" s="46" t="s">
        <v>1087</v>
      </c>
      <c r="M529" s="46" t="s">
        <v>53</v>
      </c>
    </row>
    <row r="530" spans="1:13">
      <c r="A530" s="47">
        <v>45758</v>
      </c>
      <c r="B530" s="46" t="s">
        <v>885</v>
      </c>
      <c r="C530" s="46" t="s">
        <v>886</v>
      </c>
      <c r="D530" s="46" t="s">
        <v>887</v>
      </c>
      <c r="E530" s="46" t="s">
        <v>28</v>
      </c>
      <c r="F530" s="46">
        <v>138678</v>
      </c>
      <c r="G530" s="46">
        <v>6834</v>
      </c>
      <c r="H530" s="46">
        <v>1173</v>
      </c>
      <c r="I530" s="46">
        <v>590</v>
      </c>
      <c r="J530" s="46">
        <v>294</v>
      </c>
      <c r="K530" s="46" t="s">
        <v>1088</v>
      </c>
      <c r="L530" s="46" t="s">
        <v>1089</v>
      </c>
      <c r="M530" s="46" t="s">
        <v>35</v>
      </c>
    </row>
    <row r="531" spans="1:13">
      <c r="A531" s="47">
        <v>45759</v>
      </c>
      <c r="B531" s="46" t="s">
        <v>885</v>
      </c>
      <c r="C531" s="46" t="s">
        <v>886</v>
      </c>
      <c r="D531" s="46" t="s">
        <v>887</v>
      </c>
      <c r="E531" s="46" t="s">
        <v>25</v>
      </c>
      <c r="F531" s="46">
        <v>263247</v>
      </c>
      <c r="G531" s="46">
        <v>19300</v>
      </c>
      <c r="H531" s="46">
        <v>3627</v>
      </c>
      <c r="I531" s="46">
        <v>2251</v>
      </c>
      <c r="J531" s="46">
        <v>1126</v>
      </c>
      <c r="K531" s="46" t="s">
        <v>1090</v>
      </c>
      <c r="L531" s="46" t="s">
        <v>1091</v>
      </c>
      <c r="M531" s="46" t="s">
        <v>19</v>
      </c>
    </row>
    <row r="532" spans="1:13">
      <c r="A532" s="47">
        <v>45760</v>
      </c>
      <c r="B532" s="46" t="s">
        <v>885</v>
      </c>
      <c r="C532" s="46" t="s">
        <v>886</v>
      </c>
      <c r="D532" s="46" t="s">
        <v>887</v>
      </c>
      <c r="E532" s="46" t="s">
        <v>16</v>
      </c>
      <c r="F532" s="46">
        <v>171458</v>
      </c>
      <c r="G532" s="46">
        <v>10003</v>
      </c>
      <c r="H532" s="46">
        <v>1964</v>
      </c>
      <c r="I532" s="46">
        <v>1248</v>
      </c>
      <c r="J532" s="46">
        <v>648</v>
      </c>
      <c r="K532" s="46" t="s">
        <v>1092</v>
      </c>
      <c r="L532" s="46" t="s">
        <v>1093</v>
      </c>
      <c r="M532" s="46" t="s">
        <v>35</v>
      </c>
    </row>
    <row r="533" spans="1:13">
      <c r="A533" s="47">
        <v>45761</v>
      </c>
      <c r="B533" s="46" t="s">
        <v>885</v>
      </c>
      <c r="C533" s="46" t="s">
        <v>886</v>
      </c>
      <c r="D533" s="46" t="s">
        <v>887</v>
      </c>
      <c r="E533" s="46" t="s">
        <v>25</v>
      </c>
      <c r="F533" s="46">
        <v>172696</v>
      </c>
      <c r="G533" s="46">
        <v>13622</v>
      </c>
      <c r="H533" s="46">
        <v>2087</v>
      </c>
      <c r="I533" s="46">
        <v>1215</v>
      </c>
      <c r="J533" s="46">
        <v>682</v>
      </c>
      <c r="K533" s="46" t="s">
        <v>1094</v>
      </c>
      <c r="L533" s="46" t="s">
        <v>1095</v>
      </c>
      <c r="M533" s="46" t="s">
        <v>22</v>
      </c>
    </row>
    <row r="534" spans="1:13">
      <c r="A534" s="47">
        <v>45762</v>
      </c>
      <c r="B534" s="46" t="s">
        <v>885</v>
      </c>
      <c r="C534" s="46" t="s">
        <v>886</v>
      </c>
      <c r="D534" s="46" t="s">
        <v>887</v>
      </c>
      <c r="E534" s="46" t="s">
        <v>16</v>
      </c>
      <c r="F534" s="46">
        <v>254916</v>
      </c>
      <c r="G534" s="46">
        <v>18774</v>
      </c>
      <c r="H534" s="46">
        <v>2891</v>
      </c>
      <c r="I534" s="46">
        <v>1575</v>
      </c>
      <c r="J534" s="46">
        <v>935</v>
      </c>
      <c r="K534" s="46" t="s">
        <v>1096</v>
      </c>
      <c r="L534" s="46" t="s">
        <v>1097</v>
      </c>
      <c r="M534" s="46" t="s">
        <v>46</v>
      </c>
    </row>
    <row r="535" spans="1:13">
      <c r="A535" s="47">
        <v>45763</v>
      </c>
      <c r="B535" s="46" t="s">
        <v>885</v>
      </c>
      <c r="C535" s="46" t="s">
        <v>886</v>
      </c>
      <c r="D535" s="46" t="s">
        <v>887</v>
      </c>
      <c r="E535" s="46" t="s">
        <v>16</v>
      </c>
      <c r="F535" s="46">
        <v>297311</v>
      </c>
      <c r="G535" s="46">
        <v>12824</v>
      </c>
      <c r="H535" s="46">
        <v>2266</v>
      </c>
      <c r="I535" s="46">
        <v>1065</v>
      </c>
      <c r="J535" s="46">
        <v>566</v>
      </c>
      <c r="K535" s="46" t="s">
        <v>1098</v>
      </c>
      <c r="L535" s="46" t="s">
        <v>1099</v>
      </c>
      <c r="M535" s="46" t="s">
        <v>53</v>
      </c>
    </row>
    <row r="536" spans="1:13">
      <c r="A536" s="47">
        <v>45764</v>
      </c>
      <c r="B536" s="46" t="s">
        <v>885</v>
      </c>
      <c r="C536" s="46" t="s">
        <v>886</v>
      </c>
      <c r="D536" s="46" t="s">
        <v>887</v>
      </c>
      <c r="E536" s="46" t="s">
        <v>25</v>
      </c>
      <c r="F536" s="46">
        <v>187876</v>
      </c>
      <c r="G536" s="46">
        <v>14537</v>
      </c>
      <c r="H536" s="46">
        <v>3326</v>
      </c>
      <c r="I536" s="46">
        <v>1964</v>
      </c>
      <c r="J536" s="46">
        <v>1057</v>
      </c>
      <c r="K536" s="46" t="s">
        <v>1100</v>
      </c>
      <c r="L536" s="46" t="s">
        <v>1101</v>
      </c>
      <c r="M536" s="46" t="s">
        <v>46</v>
      </c>
    </row>
    <row r="537" spans="1:13">
      <c r="A537" s="47">
        <v>45765</v>
      </c>
      <c r="B537" s="46" t="s">
        <v>885</v>
      </c>
      <c r="C537" s="46" t="s">
        <v>886</v>
      </c>
      <c r="D537" s="46" t="s">
        <v>887</v>
      </c>
      <c r="E537" s="46" t="s">
        <v>16</v>
      </c>
      <c r="F537" s="46">
        <v>286470</v>
      </c>
      <c r="G537" s="46">
        <v>17503</v>
      </c>
      <c r="H537" s="46">
        <v>2821</v>
      </c>
      <c r="I537" s="46">
        <v>1744</v>
      </c>
      <c r="J537" s="46">
        <v>734</v>
      </c>
      <c r="K537" s="46" t="s">
        <v>1102</v>
      </c>
      <c r="L537" s="46" t="s">
        <v>1103</v>
      </c>
      <c r="M537" s="46" t="s">
        <v>53</v>
      </c>
    </row>
    <row r="538" spans="1:13">
      <c r="A538" s="47">
        <v>45766</v>
      </c>
      <c r="B538" s="46" t="s">
        <v>885</v>
      </c>
      <c r="C538" s="46" t="s">
        <v>886</v>
      </c>
      <c r="D538" s="46" t="s">
        <v>887</v>
      </c>
      <c r="E538" s="46" t="s">
        <v>25</v>
      </c>
      <c r="F538" s="46">
        <v>162404</v>
      </c>
      <c r="G538" s="46">
        <v>11970</v>
      </c>
      <c r="H538" s="46">
        <v>2624</v>
      </c>
      <c r="I538" s="46">
        <v>1217</v>
      </c>
      <c r="J538" s="46">
        <v>633</v>
      </c>
      <c r="K538" s="46" t="s">
        <v>1104</v>
      </c>
      <c r="L538" s="46" t="s">
        <v>1105</v>
      </c>
      <c r="M538" s="46" t="s">
        <v>46</v>
      </c>
    </row>
    <row r="539" spans="1:13">
      <c r="A539" s="47">
        <v>45767</v>
      </c>
      <c r="B539" s="46" t="s">
        <v>885</v>
      </c>
      <c r="C539" s="46" t="s">
        <v>886</v>
      </c>
      <c r="D539" s="46" t="s">
        <v>887</v>
      </c>
      <c r="E539" s="46" t="s">
        <v>28</v>
      </c>
      <c r="F539" s="46">
        <v>70773</v>
      </c>
      <c r="G539" s="46">
        <v>2354</v>
      </c>
      <c r="H539" s="46">
        <v>502</v>
      </c>
      <c r="I539" s="46">
        <v>320</v>
      </c>
      <c r="J539" s="46">
        <v>137</v>
      </c>
      <c r="K539" s="46" t="s">
        <v>1106</v>
      </c>
      <c r="L539" s="46" t="s">
        <v>1107</v>
      </c>
      <c r="M539" s="46" t="s">
        <v>53</v>
      </c>
    </row>
    <row r="540" spans="1:13">
      <c r="A540" s="47">
        <v>45768</v>
      </c>
      <c r="B540" s="46" t="s">
        <v>885</v>
      </c>
      <c r="C540" s="46" t="s">
        <v>886</v>
      </c>
      <c r="D540" s="46" t="s">
        <v>887</v>
      </c>
      <c r="E540" s="46" t="s">
        <v>28</v>
      </c>
      <c r="F540" s="46">
        <v>92159</v>
      </c>
      <c r="G540" s="46">
        <v>7283</v>
      </c>
      <c r="H540" s="46">
        <v>1706</v>
      </c>
      <c r="I540" s="46">
        <v>985</v>
      </c>
      <c r="J540" s="46">
        <v>420</v>
      </c>
      <c r="K540" s="46" t="s">
        <v>1108</v>
      </c>
      <c r="L540" s="46" t="s">
        <v>1109</v>
      </c>
      <c r="M540" s="46" t="s">
        <v>19</v>
      </c>
    </row>
    <row r="541" spans="1:13">
      <c r="A541" s="47">
        <v>45769</v>
      </c>
      <c r="B541" s="46" t="s">
        <v>885</v>
      </c>
      <c r="C541" s="46" t="s">
        <v>886</v>
      </c>
      <c r="D541" s="46" t="s">
        <v>887</v>
      </c>
      <c r="E541" s="46" t="s">
        <v>16</v>
      </c>
      <c r="F541" s="46">
        <v>214210</v>
      </c>
      <c r="G541" s="46">
        <v>12044</v>
      </c>
      <c r="H541" s="46">
        <v>2322</v>
      </c>
      <c r="I541" s="46">
        <v>1116</v>
      </c>
      <c r="J541" s="46">
        <v>510</v>
      </c>
      <c r="K541" s="46" t="s">
        <v>1110</v>
      </c>
      <c r="L541" s="46" t="s">
        <v>1111</v>
      </c>
      <c r="M541" s="46" t="s">
        <v>35</v>
      </c>
    </row>
    <row r="542" spans="1:13">
      <c r="A542" s="47">
        <v>45770</v>
      </c>
      <c r="B542" s="46" t="s">
        <v>885</v>
      </c>
      <c r="C542" s="46" t="s">
        <v>886</v>
      </c>
      <c r="D542" s="46" t="s">
        <v>887</v>
      </c>
      <c r="E542" s="46" t="s">
        <v>16</v>
      </c>
      <c r="F542" s="46">
        <v>89597</v>
      </c>
      <c r="G542" s="46">
        <v>3957</v>
      </c>
      <c r="H542" s="46">
        <v>914</v>
      </c>
      <c r="I542" s="46">
        <v>497</v>
      </c>
      <c r="J542" s="46">
        <v>220</v>
      </c>
      <c r="K542" s="46" t="s">
        <v>1112</v>
      </c>
      <c r="L542" s="46" t="s">
        <v>1113</v>
      </c>
      <c r="M542" s="46" t="s">
        <v>35</v>
      </c>
    </row>
    <row r="543" spans="1:13">
      <c r="A543" s="47">
        <v>45771</v>
      </c>
      <c r="B543" s="46" t="s">
        <v>885</v>
      </c>
      <c r="C543" s="46" t="s">
        <v>886</v>
      </c>
      <c r="D543" s="46" t="s">
        <v>887</v>
      </c>
      <c r="E543" s="46" t="s">
        <v>25</v>
      </c>
      <c r="F543" s="46">
        <v>219815</v>
      </c>
      <c r="G543" s="46">
        <v>15931</v>
      </c>
      <c r="H543" s="46">
        <v>2530</v>
      </c>
      <c r="I543" s="46">
        <v>1544</v>
      </c>
      <c r="J543" s="46">
        <v>888</v>
      </c>
      <c r="K543" s="46" t="s">
        <v>1114</v>
      </c>
      <c r="L543" s="46" t="s">
        <v>1115</v>
      </c>
      <c r="M543" s="46" t="s">
        <v>46</v>
      </c>
    </row>
    <row r="544" spans="1:13">
      <c r="A544" s="47">
        <v>45772</v>
      </c>
      <c r="B544" s="46" t="s">
        <v>885</v>
      </c>
      <c r="C544" s="46" t="s">
        <v>886</v>
      </c>
      <c r="D544" s="46" t="s">
        <v>887</v>
      </c>
      <c r="E544" s="46" t="s">
        <v>16</v>
      </c>
      <c r="F544" s="46">
        <v>155800</v>
      </c>
      <c r="G544" s="46">
        <v>6865</v>
      </c>
      <c r="H544" s="46">
        <v>1272</v>
      </c>
      <c r="I544" s="46">
        <v>765</v>
      </c>
      <c r="J544" s="46">
        <v>363</v>
      </c>
      <c r="K544" s="46" t="s">
        <v>1116</v>
      </c>
      <c r="L544" s="46" t="s">
        <v>1117</v>
      </c>
      <c r="M544" s="46" t="s">
        <v>35</v>
      </c>
    </row>
    <row r="545" spans="1:13">
      <c r="A545" s="47">
        <v>45773</v>
      </c>
      <c r="B545" s="46" t="s">
        <v>885</v>
      </c>
      <c r="C545" s="46" t="s">
        <v>886</v>
      </c>
      <c r="D545" s="46" t="s">
        <v>887</v>
      </c>
      <c r="E545" s="46" t="s">
        <v>28</v>
      </c>
      <c r="F545" s="46">
        <v>78865</v>
      </c>
      <c r="G545" s="46">
        <v>2545</v>
      </c>
      <c r="H545" s="46">
        <v>595</v>
      </c>
      <c r="I545" s="46">
        <v>378</v>
      </c>
      <c r="J545" s="46">
        <v>152</v>
      </c>
      <c r="K545" s="46" t="s">
        <v>1118</v>
      </c>
      <c r="L545" s="46" t="s">
        <v>1119</v>
      </c>
      <c r="M545" s="46" t="s">
        <v>46</v>
      </c>
    </row>
    <row r="546" spans="1:13">
      <c r="A546" s="47">
        <v>45774</v>
      </c>
      <c r="B546" s="46" t="s">
        <v>885</v>
      </c>
      <c r="C546" s="46" t="s">
        <v>886</v>
      </c>
      <c r="D546" s="46" t="s">
        <v>887</v>
      </c>
      <c r="E546" s="46" t="s">
        <v>28</v>
      </c>
      <c r="F546" s="46">
        <v>106441</v>
      </c>
      <c r="G546" s="46">
        <v>7731</v>
      </c>
      <c r="H546" s="46">
        <v>1827</v>
      </c>
      <c r="I546" s="46">
        <v>1072</v>
      </c>
      <c r="J546" s="46">
        <v>449</v>
      </c>
      <c r="K546" s="46" t="s">
        <v>1120</v>
      </c>
      <c r="L546" s="46" t="s">
        <v>1121</v>
      </c>
      <c r="M546" s="46" t="s">
        <v>46</v>
      </c>
    </row>
    <row r="547" spans="1:13">
      <c r="A547" s="47">
        <v>45775</v>
      </c>
      <c r="B547" s="46" t="s">
        <v>885</v>
      </c>
      <c r="C547" s="46" t="s">
        <v>886</v>
      </c>
      <c r="D547" s="46" t="s">
        <v>887</v>
      </c>
      <c r="E547" s="46" t="s">
        <v>25</v>
      </c>
      <c r="F547" s="46">
        <v>108582</v>
      </c>
      <c r="G547" s="46">
        <v>6075</v>
      </c>
      <c r="H547" s="46">
        <v>1445</v>
      </c>
      <c r="I547" s="46">
        <v>861</v>
      </c>
      <c r="J547" s="46">
        <v>472</v>
      </c>
      <c r="K547" s="46" t="s">
        <v>1122</v>
      </c>
      <c r="L547" s="46" t="s">
        <v>1123</v>
      </c>
      <c r="M547" s="46" t="s">
        <v>53</v>
      </c>
    </row>
    <row r="548" spans="1:13">
      <c r="A548" s="47">
        <v>45776</v>
      </c>
      <c r="B548" s="46" t="s">
        <v>885</v>
      </c>
      <c r="C548" s="46" t="s">
        <v>886</v>
      </c>
      <c r="D548" s="46" t="s">
        <v>887</v>
      </c>
      <c r="E548" s="46" t="s">
        <v>25</v>
      </c>
      <c r="F548" s="46">
        <v>203313</v>
      </c>
      <c r="G548" s="46">
        <v>15538</v>
      </c>
      <c r="H548" s="46">
        <v>2353</v>
      </c>
      <c r="I548" s="46">
        <v>1144</v>
      </c>
      <c r="J548" s="46">
        <v>655</v>
      </c>
      <c r="K548" s="46" t="s">
        <v>1124</v>
      </c>
      <c r="L548" s="46" t="s">
        <v>1125</v>
      </c>
      <c r="M548" s="46" t="s">
        <v>19</v>
      </c>
    </row>
    <row r="549" spans="1:13">
      <c r="A549" s="47">
        <v>45777</v>
      </c>
      <c r="B549" s="46" t="s">
        <v>885</v>
      </c>
      <c r="C549" s="46" t="s">
        <v>886</v>
      </c>
      <c r="D549" s="46" t="s">
        <v>887</v>
      </c>
      <c r="E549" s="46" t="s">
        <v>28</v>
      </c>
      <c r="F549" s="46">
        <v>220384</v>
      </c>
      <c r="G549" s="46">
        <v>8142</v>
      </c>
      <c r="H549" s="46">
        <v>1402</v>
      </c>
      <c r="I549" s="46">
        <v>907</v>
      </c>
      <c r="J549" s="46">
        <v>369</v>
      </c>
      <c r="K549" s="46" t="s">
        <v>1126</v>
      </c>
      <c r="L549" s="46" t="s">
        <v>1127</v>
      </c>
      <c r="M549" s="46" t="s">
        <v>46</v>
      </c>
    </row>
    <row r="550" spans="1:13">
      <c r="A550" s="47">
        <v>45778</v>
      </c>
      <c r="B550" s="46" t="s">
        <v>1128</v>
      </c>
      <c r="C550" s="46" t="s">
        <v>1129</v>
      </c>
      <c r="D550" s="46" t="s">
        <v>1130</v>
      </c>
      <c r="E550" s="46" t="s">
        <v>1131</v>
      </c>
      <c r="F550" s="46">
        <v>240139</v>
      </c>
      <c r="G550" s="46">
        <v>11309</v>
      </c>
      <c r="H550" s="46">
        <v>1987</v>
      </c>
      <c r="I550" s="46">
        <v>1165</v>
      </c>
      <c r="J550" s="46">
        <v>696</v>
      </c>
      <c r="K550" s="46" t="s">
        <v>1132</v>
      </c>
      <c r="L550" s="46" t="s">
        <v>1133</v>
      </c>
      <c r="M550" s="46" t="s">
        <v>46</v>
      </c>
    </row>
    <row r="551" spans="1:13">
      <c r="A551" s="47">
        <v>45778</v>
      </c>
      <c r="B551" s="46" t="s">
        <v>885</v>
      </c>
      <c r="C551" s="46" t="s">
        <v>886</v>
      </c>
      <c r="D551" s="46" t="s">
        <v>887</v>
      </c>
      <c r="E551" s="46" t="s">
        <v>25</v>
      </c>
      <c r="F551" s="46">
        <v>289903</v>
      </c>
      <c r="G551" s="46">
        <v>22942</v>
      </c>
      <c r="H551" s="46">
        <v>4003</v>
      </c>
      <c r="I551" s="46">
        <v>2536</v>
      </c>
      <c r="J551" s="46">
        <v>1136</v>
      </c>
      <c r="K551" s="46" t="s">
        <v>1134</v>
      </c>
      <c r="L551" s="46" t="s">
        <v>1135</v>
      </c>
      <c r="M551" s="46" t="s">
        <v>35</v>
      </c>
    </row>
    <row r="552" spans="1:13">
      <c r="A552" s="47">
        <v>45779</v>
      </c>
      <c r="B552" s="46" t="s">
        <v>1128</v>
      </c>
      <c r="C552" s="46" t="s">
        <v>1129</v>
      </c>
      <c r="D552" s="46" t="s">
        <v>1130</v>
      </c>
      <c r="E552" s="46" t="s">
        <v>1131</v>
      </c>
      <c r="F552" s="46">
        <v>145953</v>
      </c>
      <c r="G552" s="46">
        <v>6934</v>
      </c>
      <c r="H552" s="46">
        <v>1681</v>
      </c>
      <c r="I552" s="46">
        <v>974</v>
      </c>
      <c r="J552" s="46">
        <v>435</v>
      </c>
      <c r="K552" s="46" t="s">
        <v>1136</v>
      </c>
      <c r="L552" s="46" t="s">
        <v>1137</v>
      </c>
      <c r="M552" s="46" t="s">
        <v>19</v>
      </c>
    </row>
    <row r="553" spans="1:13">
      <c r="A553" s="47">
        <v>45779</v>
      </c>
      <c r="B553" s="46" t="s">
        <v>885</v>
      </c>
      <c r="C553" s="46" t="s">
        <v>886</v>
      </c>
      <c r="D553" s="46" t="s">
        <v>887</v>
      </c>
      <c r="E553" s="46" t="s">
        <v>16</v>
      </c>
      <c r="F553" s="46">
        <v>224774</v>
      </c>
      <c r="G553" s="46">
        <v>8087</v>
      </c>
      <c r="H553" s="46">
        <v>1510</v>
      </c>
      <c r="I553" s="46">
        <v>927</v>
      </c>
      <c r="J553" s="46">
        <v>437</v>
      </c>
      <c r="K553" s="46" t="s">
        <v>1138</v>
      </c>
      <c r="L553" s="46" t="s">
        <v>1139</v>
      </c>
      <c r="M553" s="46" t="s">
        <v>46</v>
      </c>
    </row>
    <row r="554" spans="1:13">
      <c r="A554" s="47">
        <v>45780</v>
      </c>
      <c r="B554" s="46" t="s">
        <v>1128</v>
      </c>
      <c r="C554" s="46" t="s">
        <v>1129</v>
      </c>
      <c r="D554" s="46" t="s">
        <v>1130</v>
      </c>
      <c r="E554" s="46" t="s">
        <v>1131</v>
      </c>
      <c r="F554" s="46">
        <v>125764</v>
      </c>
      <c r="G554" s="46">
        <v>4601</v>
      </c>
      <c r="H554" s="46">
        <v>978</v>
      </c>
      <c r="I554" s="46">
        <v>630</v>
      </c>
      <c r="J554" s="46">
        <v>302</v>
      </c>
      <c r="K554" s="46" t="s">
        <v>1140</v>
      </c>
      <c r="L554" s="46" t="s">
        <v>1141</v>
      </c>
      <c r="M554" s="46" t="s">
        <v>22</v>
      </c>
    </row>
    <row r="555" spans="1:13">
      <c r="A555" s="47">
        <v>45780</v>
      </c>
      <c r="B555" s="46" t="s">
        <v>885</v>
      </c>
      <c r="C555" s="46" t="s">
        <v>886</v>
      </c>
      <c r="D555" s="46" t="s">
        <v>887</v>
      </c>
      <c r="E555" s="46" t="s">
        <v>25</v>
      </c>
      <c r="F555" s="46">
        <v>283215</v>
      </c>
      <c r="G555" s="46">
        <v>9156</v>
      </c>
      <c r="H555" s="46">
        <v>1720</v>
      </c>
      <c r="I555" s="46">
        <v>956</v>
      </c>
      <c r="J555" s="46">
        <v>382</v>
      </c>
      <c r="K555" s="46" t="s">
        <v>1142</v>
      </c>
      <c r="L555" s="46" t="s">
        <v>1143</v>
      </c>
      <c r="M555" s="46" t="s">
        <v>35</v>
      </c>
    </row>
    <row r="556" spans="1:13">
      <c r="A556" s="47">
        <v>45781</v>
      </c>
      <c r="B556" s="46" t="s">
        <v>1128</v>
      </c>
      <c r="C556" s="46" t="s">
        <v>1129</v>
      </c>
      <c r="D556" s="46" t="s">
        <v>1130</v>
      </c>
      <c r="E556" s="46" t="s">
        <v>1131</v>
      </c>
      <c r="F556" s="46">
        <v>254360</v>
      </c>
      <c r="G556" s="46">
        <v>11109</v>
      </c>
      <c r="H556" s="46">
        <v>2734</v>
      </c>
      <c r="I556" s="46">
        <v>1480</v>
      </c>
      <c r="J556" s="46">
        <v>668</v>
      </c>
      <c r="K556" s="46" t="s">
        <v>1144</v>
      </c>
      <c r="L556" s="46" t="s">
        <v>1145</v>
      </c>
      <c r="M556" s="46" t="s">
        <v>22</v>
      </c>
    </row>
    <row r="557" spans="1:13">
      <c r="A557" s="47">
        <v>45781</v>
      </c>
      <c r="B557" s="46" t="s">
        <v>885</v>
      </c>
      <c r="C557" s="46" t="s">
        <v>886</v>
      </c>
      <c r="D557" s="46" t="s">
        <v>887</v>
      </c>
      <c r="E557" s="46" t="s">
        <v>28</v>
      </c>
      <c r="F557" s="46">
        <v>67770</v>
      </c>
      <c r="G557" s="46">
        <v>4813</v>
      </c>
      <c r="H557" s="46">
        <v>744</v>
      </c>
      <c r="I557" s="46">
        <v>355</v>
      </c>
      <c r="J557" s="46">
        <v>155</v>
      </c>
      <c r="K557" s="46" t="s">
        <v>1146</v>
      </c>
      <c r="L557" s="46" t="s">
        <v>1147</v>
      </c>
      <c r="M557" s="46" t="s">
        <v>53</v>
      </c>
    </row>
    <row r="558" spans="1:13">
      <c r="A558" s="47">
        <v>45782</v>
      </c>
      <c r="B558" s="46" t="s">
        <v>1128</v>
      </c>
      <c r="C558" s="46" t="s">
        <v>1129</v>
      </c>
      <c r="D558" s="46" t="s">
        <v>1130</v>
      </c>
      <c r="E558" s="46" t="s">
        <v>1131</v>
      </c>
      <c r="F558" s="46">
        <v>208578</v>
      </c>
      <c r="G558" s="46">
        <v>12706</v>
      </c>
      <c r="H558" s="46">
        <v>2381</v>
      </c>
      <c r="I558" s="46">
        <v>1311</v>
      </c>
      <c r="J558" s="46">
        <v>655</v>
      </c>
      <c r="K558" s="46" t="s">
        <v>1148</v>
      </c>
      <c r="L558" s="46" t="s">
        <v>1149</v>
      </c>
      <c r="M558" s="46" t="s">
        <v>19</v>
      </c>
    </row>
    <row r="559" spans="1:13">
      <c r="A559" s="47">
        <v>45782</v>
      </c>
      <c r="B559" s="46" t="s">
        <v>885</v>
      </c>
      <c r="C559" s="46" t="s">
        <v>886</v>
      </c>
      <c r="D559" s="46" t="s">
        <v>887</v>
      </c>
      <c r="E559" s="46" t="s">
        <v>25</v>
      </c>
      <c r="F559" s="46">
        <v>104892</v>
      </c>
      <c r="G559" s="46">
        <v>8197</v>
      </c>
      <c r="H559" s="46">
        <v>1255</v>
      </c>
      <c r="I559" s="46">
        <v>616</v>
      </c>
      <c r="J559" s="46">
        <v>347</v>
      </c>
      <c r="K559" s="46" t="s">
        <v>1150</v>
      </c>
      <c r="L559" s="46" t="s">
        <v>1151</v>
      </c>
      <c r="M559" s="46" t="s">
        <v>35</v>
      </c>
    </row>
    <row r="560" spans="1:13">
      <c r="A560" s="47">
        <v>45783</v>
      </c>
      <c r="B560" s="46" t="s">
        <v>1128</v>
      </c>
      <c r="C560" s="46" t="s">
        <v>1129</v>
      </c>
      <c r="D560" s="46" t="s">
        <v>1130</v>
      </c>
      <c r="E560" s="46" t="s">
        <v>1131</v>
      </c>
      <c r="F560" s="46">
        <v>174201</v>
      </c>
      <c r="G560" s="46">
        <v>12488</v>
      </c>
      <c r="H560" s="46">
        <v>2889</v>
      </c>
      <c r="I560" s="46">
        <v>1838</v>
      </c>
      <c r="J560" s="46">
        <v>796</v>
      </c>
      <c r="K560" s="46" t="s">
        <v>1152</v>
      </c>
      <c r="L560" s="46" t="s">
        <v>1153</v>
      </c>
      <c r="M560" s="46" t="s">
        <v>19</v>
      </c>
    </row>
    <row r="561" spans="1:13">
      <c r="A561" s="47">
        <v>45783</v>
      </c>
      <c r="B561" s="46" t="s">
        <v>885</v>
      </c>
      <c r="C561" s="46" t="s">
        <v>886</v>
      </c>
      <c r="D561" s="46" t="s">
        <v>887</v>
      </c>
      <c r="E561" s="46" t="s">
        <v>25</v>
      </c>
      <c r="F561" s="46">
        <v>204932</v>
      </c>
      <c r="G561" s="46">
        <v>9551</v>
      </c>
      <c r="H561" s="46">
        <v>2028</v>
      </c>
      <c r="I561" s="46">
        <v>1175</v>
      </c>
      <c r="J561" s="46">
        <v>688</v>
      </c>
      <c r="K561" s="46" t="s">
        <v>1154</v>
      </c>
      <c r="L561" s="46" t="s">
        <v>1155</v>
      </c>
      <c r="M561" s="46" t="s">
        <v>53</v>
      </c>
    </row>
    <row r="562" spans="1:13">
      <c r="A562" s="47">
        <v>45784</v>
      </c>
      <c r="B562" s="46" t="s">
        <v>1128</v>
      </c>
      <c r="C562" s="46" t="s">
        <v>1129</v>
      </c>
      <c r="D562" s="46" t="s">
        <v>1130</v>
      </c>
      <c r="E562" s="46" t="s">
        <v>1131</v>
      </c>
      <c r="F562" s="46">
        <v>281251</v>
      </c>
      <c r="G562" s="46">
        <v>18428</v>
      </c>
      <c r="H562" s="46">
        <v>4606</v>
      </c>
      <c r="I562" s="46">
        <v>2913</v>
      </c>
      <c r="J562" s="46">
        <v>1585</v>
      </c>
      <c r="K562" s="46" t="s">
        <v>1156</v>
      </c>
      <c r="L562" s="46" t="s">
        <v>1157</v>
      </c>
      <c r="M562" s="46" t="s">
        <v>46</v>
      </c>
    </row>
    <row r="563" spans="1:13">
      <c r="A563" s="47">
        <v>45784</v>
      </c>
      <c r="B563" s="46" t="s">
        <v>885</v>
      </c>
      <c r="C563" s="46" t="s">
        <v>886</v>
      </c>
      <c r="D563" s="46" t="s">
        <v>887</v>
      </c>
      <c r="E563" s="46" t="s">
        <v>25</v>
      </c>
      <c r="F563" s="46">
        <v>126647</v>
      </c>
      <c r="G563" s="46">
        <v>7408</v>
      </c>
      <c r="H563" s="46">
        <v>1738</v>
      </c>
      <c r="I563" s="46">
        <v>883</v>
      </c>
      <c r="J563" s="46">
        <v>464</v>
      </c>
      <c r="K563" s="46" t="s">
        <v>1158</v>
      </c>
      <c r="L563" s="46" t="s">
        <v>1159</v>
      </c>
      <c r="M563" s="46" t="s">
        <v>46</v>
      </c>
    </row>
    <row r="564" spans="1:13">
      <c r="A564" s="47">
        <v>45785</v>
      </c>
      <c r="B564" s="46" t="s">
        <v>1128</v>
      </c>
      <c r="C564" s="46" t="s">
        <v>1129</v>
      </c>
      <c r="D564" s="46" t="s">
        <v>1130</v>
      </c>
      <c r="E564" s="46" t="s">
        <v>1131</v>
      </c>
      <c r="F564" s="46">
        <v>97979</v>
      </c>
      <c r="G564" s="46">
        <v>3175</v>
      </c>
      <c r="H564" s="46">
        <v>583</v>
      </c>
      <c r="I564" s="46">
        <v>301</v>
      </c>
      <c r="J564" s="46">
        <v>168</v>
      </c>
      <c r="K564" s="46" t="s">
        <v>1160</v>
      </c>
      <c r="L564" s="46" t="s">
        <v>1161</v>
      </c>
      <c r="M564" s="46" t="s">
        <v>35</v>
      </c>
    </row>
    <row r="565" spans="1:13">
      <c r="A565" s="47">
        <v>45785</v>
      </c>
      <c r="B565" s="46" t="s">
        <v>885</v>
      </c>
      <c r="C565" s="46" t="s">
        <v>886</v>
      </c>
      <c r="D565" s="46" t="s">
        <v>887</v>
      </c>
      <c r="E565" s="46" t="s">
        <v>28</v>
      </c>
      <c r="F565" s="46">
        <v>154994</v>
      </c>
      <c r="G565" s="46">
        <v>5796</v>
      </c>
      <c r="H565" s="46">
        <v>1347</v>
      </c>
      <c r="I565" s="46">
        <v>863</v>
      </c>
      <c r="J565" s="46">
        <v>431</v>
      </c>
      <c r="K565" s="46" t="s">
        <v>1162</v>
      </c>
      <c r="L565" s="46" t="s">
        <v>1163</v>
      </c>
      <c r="M565" s="46" t="s">
        <v>53</v>
      </c>
    </row>
    <row r="566" spans="1:13">
      <c r="A566" s="47">
        <v>45786</v>
      </c>
      <c r="B566" s="46" t="s">
        <v>1128</v>
      </c>
      <c r="C566" s="46" t="s">
        <v>1129</v>
      </c>
      <c r="D566" s="46" t="s">
        <v>1130</v>
      </c>
      <c r="E566" s="46" t="s">
        <v>1131</v>
      </c>
      <c r="F566" s="46">
        <v>258980</v>
      </c>
      <c r="G566" s="46">
        <v>19662</v>
      </c>
      <c r="H566" s="46">
        <v>3598</v>
      </c>
      <c r="I566" s="46">
        <v>1763</v>
      </c>
      <c r="J566" s="46">
        <v>758</v>
      </c>
      <c r="K566" s="46" t="s">
        <v>1164</v>
      </c>
      <c r="L566" s="46" t="s">
        <v>1165</v>
      </c>
      <c r="M566" s="46" t="s">
        <v>22</v>
      </c>
    </row>
    <row r="567" spans="1:13">
      <c r="A567" s="47">
        <v>45786</v>
      </c>
      <c r="B567" s="46" t="s">
        <v>885</v>
      </c>
      <c r="C567" s="46" t="s">
        <v>886</v>
      </c>
      <c r="D567" s="46" t="s">
        <v>887</v>
      </c>
      <c r="E567" s="46" t="s">
        <v>25</v>
      </c>
      <c r="F567" s="46">
        <v>108431</v>
      </c>
      <c r="G567" s="46">
        <v>6177</v>
      </c>
      <c r="H567" s="46">
        <v>1134</v>
      </c>
      <c r="I567" s="46">
        <v>595</v>
      </c>
      <c r="J567" s="46">
        <v>240</v>
      </c>
      <c r="K567" s="46" t="s">
        <v>1166</v>
      </c>
      <c r="L567" s="46" t="s">
        <v>1167</v>
      </c>
      <c r="M567" s="46" t="s">
        <v>35</v>
      </c>
    </row>
    <row r="568" spans="1:13">
      <c r="A568" s="47">
        <v>45787</v>
      </c>
      <c r="B568" s="46" t="s">
        <v>1128</v>
      </c>
      <c r="C568" s="46" t="s">
        <v>1129</v>
      </c>
      <c r="D568" s="46" t="s">
        <v>1130</v>
      </c>
      <c r="E568" s="46" t="s">
        <v>1131</v>
      </c>
      <c r="F568" s="46">
        <v>51259</v>
      </c>
      <c r="G568" s="46">
        <v>3592</v>
      </c>
      <c r="H568" s="46">
        <v>541</v>
      </c>
      <c r="I568" s="46">
        <v>312</v>
      </c>
      <c r="J568" s="46">
        <v>131</v>
      </c>
      <c r="K568" s="46" t="s">
        <v>1168</v>
      </c>
      <c r="L568" s="46" t="s">
        <v>1169</v>
      </c>
      <c r="M568" s="46" t="s">
        <v>46</v>
      </c>
    </row>
    <row r="569" spans="1:13">
      <c r="A569" s="47">
        <v>45787</v>
      </c>
      <c r="B569" s="46" t="s">
        <v>885</v>
      </c>
      <c r="C569" s="46" t="s">
        <v>886</v>
      </c>
      <c r="D569" s="46" t="s">
        <v>887</v>
      </c>
      <c r="E569" s="46" t="s">
        <v>25</v>
      </c>
      <c r="F569" s="46">
        <v>128908</v>
      </c>
      <c r="G569" s="46">
        <v>5068</v>
      </c>
      <c r="H569" s="46">
        <v>994</v>
      </c>
      <c r="I569" s="46">
        <v>535</v>
      </c>
      <c r="J569" s="46">
        <v>273</v>
      </c>
      <c r="K569" s="46" t="s">
        <v>1170</v>
      </c>
      <c r="L569" s="46" t="s">
        <v>1171</v>
      </c>
      <c r="M569" s="46" t="s">
        <v>46</v>
      </c>
    </row>
    <row r="570" spans="1:13">
      <c r="A570" s="47">
        <v>45788</v>
      </c>
      <c r="B570" s="46" t="s">
        <v>1128</v>
      </c>
      <c r="C570" s="46" t="s">
        <v>1129</v>
      </c>
      <c r="D570" s="46" t="s">
        <v>1130</v>
      </c>
      <c r="E570" s="46" t="s">
        <v>1131</v>
      </c>
      <c r="F570" s="46">
        <v>107884</v>
      </c>
      <c r="G570" s="46">
        <v>5598</v>
      </c>
      <c r="H570" s="46">
        <v>1238</v>
      </c>
      <c r="I570" s="46">
        <v>596</v>
      </c>
      <c r="J570" s="46">
        <v>240</v>
      </c>
      <c r="K570" s="46" t="s">
        <v>1172</v>
      </c>
      <c r="L570" s="46" t="s">
        <v>1173</v>
      </c>
      <c r="M570" s="46" t="s">
        <v>53</v>
      </c>
    </row>
    <row r="571" spans="1:13">
      <c r="A571" s="47">
        <v>45788</v>
      </c>
      <c r="B571" s="46" t="s">
        <v>885</v>
      </c>
      <c r="C571" s="46" t="s">
        <v>886</v>
      </c>
      <c r="D571" s="46" t="s">
        <v>887</v>
      </c>
      <c r="E571" s="46" t="s">
        <v>25</v>
      </c>
      <c r="F571" s="46">
        <v>281759</v>
      </c>
      <c r="G571" s="46">
        <v>18036</v>
      </c>
      <c r="H571" s="46">
        <v>3182</v>
      </c>
      <c r="I571" s="46">
        <v>2035</v>
      </c>
      <c r="J571" s="46">
        <v>1042</v>
      </c>
      <c r="K571" s="46" t="s">
        <v>1174</v>
      </c>
      <c r="L571" s="46" t="s">
        <v>1175</v>
      </c>
      <c r="M571" s="46" t="s">
        <v>46</v>
      </c>
    </row>
    <row r="572" spans="1:13">
      <c r="A572" s="47">
        <v>45789</v>
      </c>
      <c r="B572" s="46" t="s">
        <v>1128</v>
      </c>
      <c r="C572" s="46" t="s">
        <v>1129</v>
      </c>
      <c r="D572" s="46" t="s">
        <v>1130</v>
      </c>
      <c r="E572" s="46" t="s">
        <v>1131</v>
      </c>
      <c r="F572" s="46">
        <v>109219</v>
      </c>
      <c r="G572" s="46">
        <v>6309</v>
      </c>
      <c r="H572" s="46">
        <v>1002</v>
      </c>
      <c r="I572" s="46">
        <v>621</v>
      </c>
      <c r="J572" s="46">
        <v>302</v>
      </c>
      <c r="K572" s="46" t="s">
        <v>1176</v>
      </c>
      <c r="L572" s="46" t="s">
        <v>1177</v>
      </c>
      <c r="M572" s="46" t="s">
        <v>46</v>
      </c>
    </row>
    <row r="573" spans="1:13">
      <c r="A573" s="47">
        <v>45789</v>
      </c>
      <c r="B573" s="46" t="s">
        <v>885</v>
      </c>
      <c r="C573" s="46" t="s">
        <v>886</v>
      </c>
      <c r="D573" s="46" t="s">
        <v>887</v>
      </c>
      <c r="E573" s="46" t="s">
        <v>16</v>
      </c>
      <c r="F573" s="46">
        <v>56655</v>
      </c>
      <c r="G573" s="46">
        <v>3075</v>
      </c>
      <c r="H573" s="46">
        <v>664</v>
      </c>
      <c r="I573" s="46">
        <v>314</v>
      </c>
      <c r="J573" s="46">
        <v>152</v>
      </c>
      <c r="K573" s="46" t="s">
        <v>1178</v>
      </c>
      <c r="L573" s="46" t="s">
        <v>1179</v>
      </c>
      <c r="M573" s="46" t="s">
        <v>46</v>
      </c>
    </row>
    <row r="574" spans="1:13">
      <c r="A574" s="47">
        <v>45790</v>
      </c>
      <c r="B574" s="46" t="s">
        <v>1128</v>
      </c>
      <c r="C574" s="46" t="s">
        <v>1129</v>
      </c>
      <c r="D574" s="46" t="s">
        <v>1130</v>
      </c>
      <c r="E574" s="46" t="s">
        <v>1131</v>
      </c>
      <c r="F574" s="46">
        <v>127468</v>
      </c>
      <c r="G574" s="46">
        <v>5926</v>
      </c>
      <c r="H574" s="46">
        <v>1247</v>
      </c>
      <c r="I574" s="46">
        <v>622</v>
      </c>
      <c r="J574" s="46">
        <v>336</v>
      </c>
      <c r="K574" s="46" t="s">
        <v>1180</v>
      </c>
      <c r="L574" s="46" t="s">
        <v>1181</v>
      </c>
      <c r="M574" s="46" t="s">
        <v>22</v>
      </c>
    </row>
    <row r="575" spans="1:13">
      <c r="A575" s="47">
        <v>45790</v>
      </c>
      <c r="B575" s="46" t="s">
        <v>885</v>
      </c>
      <c r="C575" s="46" t="s">
        <v>886</v>
      </c>
      <c r="D575" s="46" t="s">
        <v>887</v>
      </c>
      <c r="E575" s="46" t="s">
        <v>25</v>
      </c>
      <c r="F575" s="46">
        <v>263989</v>
      </c>
      <c r="G575" s="46">
        <v>20499</v>
      </c>
      <c r="H575" s="46">
        <v>4960</v>
      </c>
      <c r="I575" s="46">
        <v>3112</v>
      </c>
      <c r="J575" s="46">
        <v>1581</v>
      </c>
      <c r="K575" s="46" t="s">
        <v>1182</v>
      </c>
      <c r="L575" s="46" t="s">
        <v>1183</v>
      </c>
      <c r="M575" s="46" t="s">
        <v>35</v>
      </c>
    </row>
    <row r="576" spans="1:13">
      <c r="A576" s="47">
        <v>45791</v>
      </c>
      <c r="B576" s="46" t="s">
        <v>1128</v>
      </c>
      <c r="C576" s="46" t="s">
        <v>1129</v>
      </c>
      <c r="D576" s="46" t="s">
        <v>1130</v>
      </c>
      <c r="E576" s="46" t="s">
        <v>1131</v>
      </c>
      <c r="F576" s="46">
        <v>216556</v>
      </c>
      <c r="G576" s="46">
        <v>14437</v>
      </c>
      <c r="H576" s="46">
        <v>2858</v>
      </c>
      <c r="I576" s="46">
        <v>1623</v>
      </c>
      <c r="J576" s="46">
        <v>754</v>
      </c>
      <c r="K576" s="46" t="s">
        <v>1184</v>
      </c>
      <c r="L576" s="46" t="s">
        <v>1185</v>
      </c>
      <c r="M576" s="46" t="s">
        <v>22</v>
      </c>
    </row>
    <row r="577" spans="1:13">
      <c r="A577" s="47">
        <v>45791</v>
      </c>
      <c r="B577" s="46" t="s">
        <v>885</v>
      </c>
      <c r="C577" s="46" t="s">
        <v>886</v>
      </c>
      <c r="D577" s="46" t="s">
        <v>887</v>
      </c>
      <c r="E577" s="46" t="s">
        <v>28</v>
      </c>
      <c r="F577" s="46">
        <v>176419</v>
      </c>
      <c r="G577" s="46">
        <v>6312</v>
      </c>
      <c r="H577" s="46">
        <v>1409</v>
      </c>
      <c r="I577" s="46">
        <v>877</v>
      </c>
      <c r="J577" s="46">
        <v>517</v>
      </c>
      <c r="K577" s="46" t="s">
        <v>1186</v>
      </c>
      <c r="L577" s="46" t="s">
        <v>1187</v>
      </c>
      <c r="M577" s="46" t="s">
        <v>22</v>
      </c>
    </row>
    <row r="578" spans="1:13">
      <c r="A578" s="47">
        <v>45792</v>
      </c>
      <c r="B578" s="46" t="s">
        <v>1128</v>
      </c>
      <c r="C578" s="46" t="s">
        <v>1129</v>
      </c>
      <c r="D578" s="46" t="s">
        <v>1130</v>
      </c>
      <c r="E578" s="46" t="s">
        <v>1131</v>
      </c>
      <c r="F578" s="46">
        <v>104288</v>
      </c>
      <c r="G578" s="46">
        <v>4814</v>
      </c>
      <c r="H578" s="46">
        <v>768</v>
      </c>
      <c r="I578" s="46">
        <v>360</v>
      </c>
      <c r="J578" s="46">
        <v>179</v>
      </c>
      <c r="K578" s="46" t="s">
        <v>1188</v>
      </c>
      <c r="L578" s="46" t="s">
        <v>1189</v>
      </c>
      <c r="M578" s="46" t="s">
        <v>19</v>
      </c>
    </row>
    <row r="579" spans="1:13">
      <c r="A579" s="47">
        <v>45792</v>
      </c>
      <c r="B579" s="46" t="s">
        <v>885</v>
      </c>
      <c r="C579" s="46" t="s">
        <v>886</v>
      </c>
      <c r="D579" s="46" t="s">
        <v>887</v>
      </c>
      <c r="E579" s="46" t="s">
        <v>28</v>
      </c>
      <c r="F579" s="46">
        <v>246319</v>
      </c>
      <c r="G579" s="46">
        <v>18568</v>
      </c>
      <c r="H579" s="46">
        <v>2933</v>
      </c>
      <c r="I579" s="46">
        <v>1874</v>
      </c>
      <c r="J579" s="46">
        <v>956</v>
      </c>
      <c r="K579" s="46" t="s">
        <v>1190</v>
      </c>
      <c r="L579" s="46" t="s">
        <v>1191</v>
      </c>
      <c r="M579" s="46" t="s">
        <v>46</v>
      </c>
    </row>
    <row r="580" spans="1:13">
      <c r="A580" s="47">
        <v>45793</v>
      </c>
      <c r="B580" s="46" t="s">
        <v>1128</v>
      </c>
      <c r="C580" s="46" t="s">
        <v>1129</v>
      </c>
      <c r="D580" s="46" t="s">
        <v>1130</v>
      </c>
      <c r="E580" s="46" t="s">
        <v>1131</v>
      </c>
      <c r="F580" s="46">
        <v>272620</v>
      </c>
      <c r="G580" s="46">
        <v>19195</v>
      </c>
      <c r="H580" s="46">
        <v>3980</v>
      </c>
      <c r="I580" s="46">
        <v>1800</v>
      </c>
      <c r="J580" s="46">
        <v>723</v>
      </c>
      <c r="K580" s="46" t="s">
        <v>1192</v>
      </c>
      <c r="L580" s="46" t="s">
        <v>1193</v>
      </c>
      <c r="M580" s="46" t="s">
        <v>35</v>
      </c>
    </row>
    <row r="581" spans="1:13">
      <c r="A581" s="47">
        <v>45793</v>
      </c>
      <c r="B581" s="46" t="s">
        <v>885</v>
      </c>
      <c r="C581" s="46" t="s">
        <v>886</v>
      </c>
      <c r="D581" s="46" t="s">
        <v>887</v>
      </c>
      <c r="E581" s="46" t="s">
        <v>16</v>
      </c>
      <c r="F581" s="46">
        <v>135416</v>
      </c>
      <c r="G581" s="46">
        <v>9754</v>
      </c>
      <c r="H581" s="46">
        <v>1804</v>
      </c>
      <c r="I581" s="46">
        <v>831</v>
      </c>
      <c r="J581" s="46">
        <v>444</v>
      </c>
      <c r="K581" s="46" t="s">
        <v>1194</v>
      </c>
      <c r="L581" s="46" t="s">
        <v>1195</v>
      </c>
      <c r="M581" s="46" t="s">
        <v>19</v>
      </c>
    </row>
    <row r="582" spans="1:13">
      <c r="A582" s="47">
        <v>45794</v>
      </c>
      <c r="B582" s="46" t="s">
        <v>1128</v>
      </c>
      <c r="C582" s="46" t="s">
        <v>1129</v>
      </c>
      <c r="D582" s="46" t="s">
        <v>1130</v>
      </c>
      <c r="E582" s="46" t="s">
        <v>1131</v>
      </c>
      <c r="F582" s="46">
        <v>205846</v>
      </c>
      <c r="G582" s="46">
        <v>16047</v>
      </c>
      <c r="H582" s="46">
        <v>2839</v>
      </c>
      <c r="I582" s="46">
        <v>1461</v>
      </c>
      <c r="J582" s="46">
        <v>602</v>
      </c>
      <c r="K582" s="46" t="s">
        <v>1196</v>
      </c>
      <c r="L582" s="46" t="s">
        <v>1197</v>
      </c>
      <c r="M582" s="46" t="s">
        <v>46</v>
      </c>
    </row>
    <row r="583" spans="1:13">
      <c r="A583" s="47">
        <v>45794</v>
      </c>
      <c r="B583" s="46" t="s">
        <v>885</v>
      </c>
      <c r="C583" s="46" t="s">
        <v>886</v>
      </c>
      <c r="D583" s="46" t="s">
        <v>887</v>
      </c>
      <c r="E583" s="46" t="s">
        <v>16</v>
      </c>
      <c r="F583" s="46">
        <v>277369</v>
      </c>
      <c r="G583" s="46">
        <v>9937</v>
      </c>
      <c r="H583" s="46">
        <v>2473</v>
      </c>
      <c r="I583" s="46">
        <v>1558</v>
      </c>
      <c r="J583" s="46">
        <v>780</v>
      </c>
      <c r="K583" s="46" t="s">
        <v>1198</v>
      </c>
      <c r="L583" s="46" t="s">
        <v>1199</v>
      </c>
      <c r="M583" s="46" t="s">
        <v>19</v>
      </c>
    </row>
    <row r="584" spans="1:13">
      <c r="A584" s="47">
        <v>45795</v>
      </c>
      <c r="B584" s="46" t="s">
        <v>1128</v>
      </c>
      <c r="C584" s="46" t="s">
        <v>1129</v>
      </c>
      <c r="D584" s="46" t="s">
        <v>1130</v>
      </c>
      <c r="E584" s="46" t="s">
        <v>1131</v>
      </c>
      <c r="F584" s="46">
        <v>73028</v>
      </c>
      <c r="G584" s="46">
        <v>3043</v>
      </c>
      <c r="H584" s="46">
        <v>537</v>
      </c>
      <c r="I584" s="46">
        <v>345</v>
      </c>
      <c r="J584" s="46">
        <v>157</v>
      </c>
      <c r="K584" s="46" t="s">
        <v>1200</v>
      </c>
      <c r="L584" s="46" t="s">
        <v>1201</v>
      </c>
      <c r="M584" s="46" t="s">
        <v>22</v>
      </c>
    </row>
    <row r="585" spans="1:13">
      <c r="A585" s="47">
        <v>45795</v>
      </c>
      <c r="B585" s="46" t="s">
        <v>885</v>
      </c>
      <c r="C585" s="46" t="s">
        <v>886</v>
      </c>
      <c r="D585" s="46" t="s">
        <v>887</v>
      </c>
      <c r="E585" s="46" t="s">
        <v>16</v>
      </c>
      <c r="F585" s="46">
        <v>154431</v>
      </c>
      <c r="G585" s="46">
        <v>8758</v>
      </c>
      <c r="H585" s="46">
        <v>1526</v>
      </c>
      <c r="I585" s="46">
        <v>770</v>
      </c>
      <c r="J585" s="46">
        <v>401</v>
      </c>
      <c r="K585" s="46" t="s">
        <v>1202</v>
      </c>
      <c r="L585" s="46" t="s">
        <v>1203</v>
      </c>
      <c r="M585" s="46" t="s">
        <v>53</v>
      </c>
    </row>
    <row r="586" spans="1:13">
      <c r="A586" s="47">
        <v>45796</v>
      </c>
      <c r="B586" s="46" t="s">
        <v>1128</v>
      </c>
      <c r="C586" s="46" t="s">
        <v>1129</v>
      </c>
      <c r="D586" s="46" t="s">
        <v>1130</v>
      </c>
      <c r="E586" s="46" t="s">
        <v>1131</v>
      </c>
      <c r="F586" s="46">
        <v>129271</v>
      </c>
      <c r="G586" s="46">
        <v>8596</v>
      </c>
      <c r="H586" s="46">
        <v>1731</v>
      </c>
      <c r="I586" s="46">
        <v>909</v>
      </c>
      <c r="J586" s="46">
        <v>413</v>
      </c>
      <c r="K586" s="46" t="s">
        <v>1204</v>
      </c>
      <c r="L586" s="46" t="s">
        <v>1205</v>
      </c>
      <c r="M586" s="46" t="s">
        <v>35</v>
      </c>
    </row>
    <row r="587" spans="1:13">
      <c r="A587" s="47">
        <v>45796</v>
      </c>
      <c r="B587" s="46" t="s">
        <v>885</v>
      </c>
      <c r="C587" s="46" t="s">
        <v>886</v>
      </c>
      <c r="D587" s="46" t="s">
        <v>887</v>
      </c>
      <c r="E587" s="46" t="s">
        <v>28</v>
      </c>
      <c r="F587" s="46">
        <v>294707</v>
      </c>
      <c r="G587" s="46">
        <v>9304</v>
      </c>
      <c r="H587" s="46">
        <v>1777</v>
      </c>
      <c r="I587" s="46">
        <v>925</v>
      </c>
      <c r="J587" s="46">
        <v>464</v>
      </c>
      <c r="K587" s="46" t="s">
        <v>1206</v>
      </c>
      <c r="L587" s="46" t="s">
        <v>1207</v>
      </c>
      <c r="M587" s="46" t="s">
        <v>46</v>
      </c>
    </row>
    <row r="588" spans="1:13">
      <c r="A588" s="47">
        <v>45797</v>
      </c>
      <c r="B588" s="46" t="s">
        <v>1128</v>
      </c>
      <c r="C588" s="46" t="s">
        <v>1129</v>
      </c>
      <c r="D588" s="46" t="s">
        <v>1130</v>
      </c>
      <c r="E588" s="46" t="s">
        <v>1131</v>
      </c>
      <c r="F588" s="46">
        <v>163842</v>
      </c>
      <c r="G588" s="46">
        <v>7426</v>
      </c>
      <c r="H588" s="46">
        <v>1233</v>
      </c>
      <c r="I588" s="46">
        <v>778</v>
      </c>
      <c r="J588" s="46">
        <v>374</v>
      </c>
      <c r="K588" s="46" t="s">
        <v>1208</v>
      </c>
      <c r="L588" s="46" t="s">
        <v>1209</v>
      </c>
      <c r="M588" s="46" t="s">
        <v>22</v>
      </c>
    </row>
    <row r="589" spans="1:13">
      <c r="A589" s="47">
        <v>45797</v>
      </c>
      <c r="B589" s="46" t="s">
        <v>885</v>
      </c>
      <c r="C589" s="46" t="s">
        <v>886</v>
      </c>
      <c r="D589" s="46" t="s">
        <v>887</v>
      </c>
      <c r="E589" s="46" t="s">
        <v>28</v>
      </c>
      <c r="F589" s="46">
        <v>170906</v>
      </c>
      <c r="G589" s="46">
        <v>10548</v>
      </c>
      <c r="H589" s="46">
        <v>1817</v>
      </c>
      <c r="I589" s="46">
        <v>1173</v>
      </c>
      <c r="J589" s="46">
        <v>608</v>
      </c>
      <c r="K589" s="46" t="s">
        <v>1210</v>
      </c>
      <c r="L589" s="46" t="s">
        <v>1211</v>
      </c>
      <c r="M589" s="46" t="s">
        <v>46</v>
      </c>
    </row>
    <row r="590" spans="1:13">
      <c r="A590" s="47">
        <v>45798</v>
      </c>
      <c r="B590" s="46" t="s">
        <v>1128</v>
      </c>
      <c r="C590" s="46" t="s">
        <v>1129</v>
      </c>
      <c r="D590" s="46" t="s">
        <v>1130</v>
      </c>
      <c r="E590" s="46" t="s">
        <v>1131</v>
      </c>
      <c r="F590" s="46">
        <v>61054</v>
      </c>
      <c r="G590" s="46">
        <v>3895</v>
      </c>
      <c r="H590" s="46">
        <v>951</v>
      </c>
      <c r="I590" s="46">
        <v>543</v>
      </c>
      <c r="J590" s="46">
        <v>240</v>
      </c>
      <c r="K590" s="46" t="s">
        <v>1212</v>
      </c>
      <c r="L590" s="46" t="s">
        <v>1213</v>
      </c>
      <c r="M590" s="46" t="s">
        <v>46</v>
      </c>
    </row>
    <row r="591" spans="1:13">
      <c r="A591" s="47">
        <v>45798</v>
      </c>
      <c r="B591" s="46" t="s">
        <v>885</v>
      </c>
      <c r="C591" s="46" t="s">
        <v>886</v>
      </c>
      <c r="D591" s="46" t="s">
        <v>887</v>
      </c>
      <c r="E591" s="46" t="s">
        <v>25</v>
      </c>
      <c r="F591" s="46">
        <v>121352</v>
      </c>
      <c r="G591" s="46">
        <v>4064</v>
      </c>
      <c r="H591" s="46">
        <v>696</v>
      </c>
      <c r="I591" s="46">
        <v>357</v>
      </c>
      <c r="J591" s="46">
        <v>180</v>
      </c>
      <c r="K591" s="46" t="s">
        <v>1214</v>
      </c>
      <c r="L591" s="46" t="s">
        <v>1215</v>
      </c>
      <c r="M591" s="46" t="s">
        <v>53</v>
      </c>
    </row>
    <row r="592" spans="1:13">
      <c r="A592" s="47">
        <v>45799</v>
      </c>
      <c r="B592" s="46" t="s">
        <v>1128</v>
      </c>
      <c r="C592" s="46" t="s">
        <v>1129</v>
      </c>
      <c r="D592" s="46" t="s">
        <v>1130</v>
      </c>
      <c r="E592" s="46" t="s">
        <v>1131</v>
      </c>
      <c r="F592" s="46">
        <v>109881</v>
      </c>
      <c r="G592" s="46">
        <v>4764</v>
      </c>
      <c r="H592" s="46">
        <v>991</v>
      </c>
      <c r="I592" s="46">
        <v>450</v>
      </c>
      <c r="J592" s="46">
        <v>232</v>
      </c>
      <c r="K592" s="46" t="s">
        <v>1216</v>
      </c>
      <c r="L592" s="46" t="s">
        <v>1217</v>
      </c>
      <c r="M592" s="46" t="s">
        <v>22</v>
      </c>
    </row>
    <row r="593" spans="1:13">
      <c r="A593" s="47">
        <v>45799</v>
      </c>
      <c r="B593" s="46" t="s">
        <v>885</v>
      </c>
      <c r="C593" s="46" t="s">
        <v>886</v>
      </c>
      <c r="D593" s="46" t="s">
        <v>887</v>
      </c>
      <c r="E593" s="46" t="s">
        <v>16</v>
      </c>
      <c r="F593" s="46">
        <v>228338</v>
      </c>
      <c r="G593" s="46">
        <v>16682</v>
      </c>
      <c r="H593" s="46">
        <v>2885</v>
      </c>
      <c r="I593" s="46">
        <v>1390</v>
      </c>
      <c r="J593" s="46">
        <v>593</v>
      </c>
      <c r="K593" s="46" t="s">
        <v>1218</v>
      </c>
      <c r="L593" s="46" t="s">
        <v>1219</v>
      </c>
      <c r="M593" s="46" t="s">
        <v>46</v>
      </c>
    </row>
    <row r="594" spans="1:13">
      <c r="A594" s="47">
        <v>45800</v>
      </c>
      <c r="B594" s="46" t="s">
        <v>1128</v>
      </c>
      <c r="C594" s="46" t="s">
        <v>1129</v>
      </c>
      <c r="D594" s="46" t="s">
        <v>1130</v>
      </c>
      <c r="E594" s="46" t="s">
        <v>1131</v>
      </c>
      <c r="F594" s="46">
        <v>138950</v>
      </c>
      <c r="G594" s="46">
        <v>8247</v>
      </c>
      <c r="H594" s="46">
        <v>1433</v>
      </c>
      <c r="I594" s="46">
        <v>743</v>
      </c>
      <c r="J594" s="46">
        <v>371</v>
      </c>
      <c r="K594" s="46" t="s">
        <v>1220</v>
      </c>
      <c r="L594" s="46" t="s">
        <v>1221</v>
      </c>
      <c r="M594" s="46" t="s">
        <v>35</v>
      </c>
    </row>
    <row r="595" spans="1:13">
      <c r="A595" s="47">
        <v>45800</v>
      </c>
      <c r="B595" s="46" t="s">
        <v>885</v>
      </c>
      <c r="C595" s="46" t="s">
        <v>886</v>
      </c>
      <c r="D595" s="46" t="s">
        <v>887</v>
      </c>
      <c r="E595" s="46" t="s">
        <v>28</v>
      </c>
      <c r="F595" s="46">
        <v>81571</v>
      </c>
      <c r="G595" s="46">
        <v>6335</v>
      </c>
      <c r="H595" s="46">
        <v>1288</v>
      </c>
      <c r="I595" s="46">
        <v>609</v>
      </c>
      <c r="J595" s="46">
        <v>288</v>
      </c>
      <c r="K595" s="46" t="s">
        <v>1222</v>
      </c>
      <c r="L595" s="46" t="s">
        <v>1223</v>
      </c>
      <c r="M595" s="46" t="s">
        <v>22</v>
      </c>
    </row>
    <row r="596" spans="1:13">
      <c r="A596" s="47">
        <v>45801</v>
      </c>
      <c r="B596" s="46" t="s">
        <v>1128</v>
      </c>
      <c r="C596" s="46" t="s">
        <v>1129</v>
      </c>
      <c r="D596" s="46" t="s">
        <v>1130</v>
      </c>
      <c r="E596" s="46" t="s">
        <v>1131</v>
      </c>
      <c r="F596" s="46">
        <v>261935</v>
      </c>
      <c r="G596" s="46">
        <v>11611</v>
      </c>
      <c r="H596" s="46">
        <v>1967</v>
      </c>
      <c r="I596" s="46">
        <v>1027</v>
      </c>
      <c r="J596" s="46">
        <v>604</v>
      </c>
      <c r="K596" s="46" t="s">
        <v>1224</v>
      </c>
      <c r="L596" s="46" t="s">
        <v>1225</v>
      </c>
      <c r="M596" s="46" t="s">
        <v>22</v>
      </c>
    </row>
    <row r="597" spans="1:13">
      <c r="A597" s="47">
        <v>45801</v>
      </c>
      <c r="B597" s="46" t="s">
        <v>885</v>
      </c>
      <c r="C597" s="46" t="s">
        <v>886</v>
      </c>
      <c r="D597" s="46" t="s">
        <v>887</v>
      </c>
      <c r="E597" s="46" t="s">
        <v>25</v>
      </c>
      <c r="F597" s="46">
        <v>107849</v>
      </c>
      <c r="G597" s="46">
        <v>6825</v>
      </c>
      <c r="H597" s="46">
        <v>1489</v>
      </c>
      <c r="I597" s="46">
        <v>749</v>
      </c>
      <c r="J597" s="46">
        <v>394</v>
      </c>
      <c r="K597" s="46" t="s">
        <v>1226</v>
      </c>
      <c r="L597" s="46" t="s">
        <v>1227</v>
      </c>
      <c r="M597" s="46" t="s">
        <v>46</v>
      </c>
    </row>
    <row r="598" spans="1:13">
      <c r="A598" s="47">
        <v>45802</v>
      </c>
      <c r="B598" s="46" t="s">
        <v>1128</v>
      </c>
      <c r="C598" s="46" t="s">
        <v>1129</v>
      </c>
      <c r="D598" s="46" t="s">
        <v>1130</v>
      </c>
      <c r="E598" s="46" t="s">
        <v>1131</v>
      </c>
      <c r="F598" s="46">
        <v>199889</v>
      </c>
      <c r="G598" s="46">
        <v>7676</v>
      </c>
      <c r="H598" s="46">
        <v>1181</v>
      </c>
      <c r="I598" s="46">
        <v>628</v>
      </c>
      <c r="J598" s="46">
        <v>295</v>
      </c>
      <c r="K598" s="46" t="s">
        <v>1228</v>
      </c>
      <c r="L598" s="46" t="s">
        <v>1229</v>
      </c>
      <c r="M598" s="46" t="s">
        <v>35</v>
      </c>
    </row>
    <row r="599" spans="1:13">
      <c r="A599" s="47">
        <v>45802</v>
      </c>
      <c r="B599" s="46" t="s">
        <v>885</v>
      </c>
      <c r="C599" s="46" t="s">
        <v>886</v>
      </c>
      <c r="D599" s="46" t="s">
        <v>887</v>
      </c>
      <c r="E599" s="46" t="s">
        <v>16</v>
      </c>
      <c r="F599" s="46">
        <v>221701</v>
      </c>
      <c r="G599" s="46">
        <v>9472</v>
      </c>
      <c r="H599" s="46">
        <v>2148</v>
      </c>
      <c r="I599" s="46">
        <v>1063</v>
      </c>
      <c r="J599" s="46">
        <v>587</v>
      </c>
      <c r="K599" s="46" t="s">
        <v>1230</v>
      </c>
      <c r="L599" s="46" t="s">
        <v>1231</v>
      </c>
      <c r="M599" s="46" t="s">
        <v>22</v>
      </c>
    </row>
    <row r="600" spans="1:13">
      <c r="A600" s="47">
        <v>45803</v>
      </c>
      <c r="B600" s="46" t="s">
        <v>1128</v>
      </c>
      <c r="C600" s="46" t="s">
        <v>1129</v>
      </c>
      <c r="D600" s="46" t="s">
        <v>1130</v>
      </c>
      <c r="E600" s="46" t="s">
        <v>1131</v>
      </c>
      <c r="F600" s="46">
        <v>95432</v>
      </c>
      <c r="G600" s="46">
        <v>7312</v>
      </c>
      <c r="H600" s="46">
        <v>1525</v>
      </c>
      <c r="I600" s="46">
        <v>799</v>
      </c>
      <c r="J600" s="46">
        <v>461</v>
      </c>
      <c r="K600" s="46" t="s">
        <v>1232</v>
      </c>
      <c r="L600" s="46" t="s">
        <v>1233</v>
      </c>
      <c r="M600" s="46" t="s">
        <v>46</v>
      </c>
    </row>
    <row r="601" spans="1:13">
      <c r="A601" s="47">
        <v>45803</v>
      </c>
      <c r="B601" s="46" t="s">
        <v>885</v>
      </c>
      <c r="C601" s="46" t="s">
        <v>886</v>
      </c>
      <c r="D601" s="46" t="s">
        <v>887</v>
      </c>
      <c r="E601" s="46" t="s">
        <v>28</v>
      </c>
      <c r="F601" s="46">
        <v>258060</v>
      </c>
      <c r="G601" s="46">
        <v>19102</v>
      </c>
      <c r="H601" s="46">
        <v>4745</v>
      </c>
      <c r="I601" s="46">
        <v>2505</v>
      </c>
      <c r="J601" s="46">
        <v>1316</v>
      </c>
      <c r="K601" s="46" t="s">
        <v>1234</v>
      </c>
      <c r="L601" s="46" t="s">
        <v>1235</v>
      </c>
      <c r="M601" s="46" t="s">
        <v>46</v>
      </c>
    </row>
    <row r="602" spans="1:13">
      <c r="A602" s="47">
        <v>45804</v>
      </c>
      <c r="B602" s="46" t="s">
        <v>1128</v>
      </c>
      <c r="C602" s="46" t="s">
        <v>1129</v>
      </c>
      <c r="D602" s="46" t="s">
        <v>1130</v>
      </c>
      <c r="E602" s="46" t="s">
        <v>1131</v>
      </c>
      <c r="F602" s="46">
        <v>161958</v>
      </c>
      <c r="G602" s="46">
        <v>8826</v>
      </c>
      <c r="H602" s="46">
        <v>1937</v>
      </c>
      <c r="I602" s="46">
        <v>906</v>
      </c>
      <c r="J602" s="46">
        <v>520</v>
      </c>
      <c r="K602" s="46" t="s">
        <v>1236</v>
      </c>
      <c r="L602" s="46" t="s">
        <v>1237</v>
      </c>
      <c r="M602" s="46" t="s">
        <v>22</v>
      </c>
    </row>
    <row r="603" spans="1:13">
      <c r="A603" s="47">
        <v>45804</v>
      </c>
      <c r="B603" s="46" t="s">
        <v>885</v>
      </c>
      <c r="C603" s="46" t="s">
        <v>886</v>
      </c>
      <c r="D603" s="46" t="s">
        <v>887</v>
      </c>
      <c r="E603" s="46" t="s">
        <v>25</v>
      </c>
      <c r="F603" s="46">
        <v>298878</v>
      </c>
      <c r="G603" s="46">
        <v>16202</v>
      </c>
      <c r="H603" s="46">
        <v>3092</v>
      </c>
      <c r="I603" s="46">
        <v>1903</v>
      </c>
      <c r="J603" s="46">
        <v>1055</v>
      </c>
      <c r="K603" s="46" t="s">
        <v>1238</v>
      </c>
      <c r="L603" s="46" t="s">
        <v>1239</v>
      </c>
      <c r="M603" s="46" t="s">
        <v>19</v>
      </c>
    </row>
    <row r="604" spans="1:13">
      <c r="A604" s="47">
        <v>45805</v>
      </c>
      <c r="B604" s="46" t="s">
        <v>1128</v>
      </c>
      <c r="C604" s="46" t="s">
        <v>1129</v>
      </c>
      <c r="D604" s="46" t="s">
        <v>1130</v>
      </c>
      <c r="E604" s="46" t="s">
        <v>1131</v>
      </c>
      <c r="F604" s="46">
        <v>107903</v>
      </c>
      <c r="G604" s="46">
        <v>3524</v>
      </c>
      <c r="H604" s="46">
        <v>729</v>
      </c>
      <c r="I604" s="46">
        <v>457</v>
      </c>
      <c r="J604" s="46">
        <v>206</v>
      </c>
      <c r="K604" s="46" t="s">
        <v>1240</v>
      </c>
      <c r="L604" s="46" t="s">
        <v>1241</v>
      </c>
      <c r="M604" s="46" t="s">
        <v>19</v>
      </c>
    </row>
    <row r="605" spans="1:13">
      <c r="A605" s="47">
        <v>45805</v>
      </c>
      <c r="B605" s="46" t="s">
        <v>885</v>
      </c>
      <c r="C605" s="46" t="s">
        <v>886</v>
      </c>
      <c r="D605" s="46" t="s">
        <v>887</v>
      </c>
      <c r="E605" s="46" t="s">
        <v>25</v>
      </c>
      <c r="F605" s="46">
        <v>173020</v>
      </c>
      <c r="G605" s="46">
        <v>10599</v>
      </c>
      <c r="H605" s="46">
        <v>1880</v>
      </c>
      <c r="I605" s="46">
        <v>1217</v>
      </c>
      <c r="J605" s="46">
        <v>720</v>
      </c>
      <c r="K605" s="46" t="s">
        <v>1242</v>
      </c>
      <c r="L605" s="46" t="s">
        <v>1243</v>
      </c>
      <c r="M605" s="46" t="s">
        <v>22</v>
      </c>
    </row>
    <row r="606" spans="1:13">
      <c r="A606" s="47">
        <v>45806</v>
      </c>
      <c r="B606" s="46" t="s">
        <v>1128</v>
      </c>
      <c r="C606" s="46" t="s">
        <v>1129</v>
      </c>
      <c r="D606" s="46" t="s">
        <v>1130</v>
      </c>
      <c r="E606" s="46" t="s">
        <v>1131</v>
      </c>
      <c r="F606" s="46">
        <v>208326</v>
      </c>
      <c r="G606" s="46">
        <v>16547</v>
      </c>
      <c r="H606" s="46">
        <v>2535</v>
      </c>
      <c r="I606" s="46">
        <v>1311</v>
      </c>
      <c r="J606" s="46">
        <v>579</v>
      </c>
      <c r="K606" s="46" t="s">
        <v>1244</v>
      </c>
      <c r="L606" s="46" t="s">
        <v>1245</v>
      </c>
      <c r="M606" s="46" t="s">
        <v>19</v>
      </c>
    </row>
    <row r="607" spans="1:13">
      <c r="A607" s="47">
        <v>45806</v>
      </c>
      <c r="B607" s="46" t="s">
        <v>885</v>
      </c>
      <c r="C607" s="46" t="s">
        <v>886</v>
      </c>
      <c r="D607" s="46" t="s">
        <v>887</v>
      </c>
      <c r="E607" s="46" t="s">
        <v>16</v>
      </c>
      <c r="F607" s="46">
        <v>254367</v>
      </c>
      <c r="G607" s="46">
        <v>11373</v>
      </c>
      <c r="H607" s="46">
        <v>2455</v>
      </c>
      <c r="I607" s="46">
        <v>1286</v>
      </c>
      <c r="J607" s="46">
        <v>523</v>
      </c>
      <c r="K607" s="46" t="s">
        <v>1246</v>
      </c>
      <c r="L607" s="46" t="s">
        <v>1247</v>
      </c>
      <c r="M607" s="46" t="s">
        <v>46</v>
      </c>
    </row>
    <row r="608" spans="1:13">
      <c r="A608" s="47">
        <v>45807</v>
      </c>
      <c r="B608" s="46" t="s">
        <v>1128</v>
      </c>
      <c r="C608" s="46" t="s">
        <v>1129</v>
      </c>
      <c r="D608" s="46" t="s">
        <v>1130</v>
      </c>
      <c r="E608" s="46" t="s">
        <v>1131</v>
      </c>
      <c r="F608" s="46">
        <v>221642</v>
      </c>
      <c r="G608" s="46">
        <v>16515</v>
      </c>
      <c r="H608" s="46">
        <v>3805</v>
      </c>
      <c r="I608" s="46">
        <v>2059</v>
      </c>
      <c r="J608" s="46">
        <v>1044</v>
      </c>
      <c r="K608" s="46" t="s">
        <v>1248</v>
      </c>
      <c r="L608" s="46" t="s">
        <v>1249</v>
      </c>
      <c r="M608" s="46" t="s">
        <v>35</v>
      </c>
    </row>
    <row r="609" spans="1:13">
      <c r="A609" s="47">
        <v>45807</v>
      </c>
      <c r="B609" s="46" t="s">
        <v>885</v>
      </c>
      <c r="C609" s="46" t="s">
        <v>886</v>
      </c>
      <c r="D609" s="46" t="s">
        <v>887</v>
      </c>
      <c r="E609" s="46" t="s">
        <v>25</v>
      </c>
      <c r="F609" s="46">
        <v>171248</v>
      </c>
      <c r="G609" s="46">
        <v>12218</v>
      </c>
      <c r="H609" s="46">
        <v>1850</v>
      </c>
      <c r="I609" s="46">
        <v>1118</v>
      </c>
      <c r="J609" s="46">
        <v>623</v>
      </c>
      <c r="K609" s="46" t="s">
        <v>1250</v>
      </c>
      <c r="L609" s="46" t="s">
        <v>1251</v>
      </c>
      <c r="M609" s="46" t="s">
        <v>19</v>
      </c>
    </row>
    <row r="610" spans="1:13">
      <c r="A610" s="47">
        <v>45808</v>
      </c>
      <c r="B610" s="46" t="s">
        <v>1128</v>
      </c>
      <c r="C610" s="46" t="s">
        <v>1129</v>
      </c>
      <c r="D610" s="46" t="s">
        <v>1130</v>
      </c>
      <c r="E610" s="46" t="s">
        <v>1131</v>
      </c>
      <c r="F610" s="46">
        <v>172441</v>
      </c>
      <c r="G610" s="46">
        <v>10888</v>
      </c>
      <c r="H610" s="46">
        <v>1929</v>
      </c>
      <c r="I610" s="46">
        <v>985</v>
      </c>
      <c r="J610" s="46">
        <v>439</v>
      </c>
      <c r="K610" s="46" t="s">
        <v>1252</v>
      </c>
      <c r="L610" s="46" t="s">
        <v>1253</v>
      </c>
      <c r="M610" s="46" t="s">
        <v>46</v>
      </c>
    </row>
    <row r="611" spans="1:13">
      <c r="A611" s="47">
        <v>45808</v>
      </c>
      <c r="B611" s="46" t="s">
        <v>885</v>
      </c>
      <c r="C611" s="46" t="s">
        <v>886</v>
      </c>
      <c r="D611" s="46" t="s">
        <v>887</v>
      </c>
      <c r="E611" s="46" t="s">
        <v>25</v>
      </c>
      <c r="F611" s="46">
        <v>79898</v>
      </c>
      <c r="G611" s="46">
        <v>3387</v>
      </c>
      <c r="H611" s="46">
        <v>708</v>
      </c>
      <c r="I611" s="46">
        <v>348</v>
      </c>
      <c r="J611" s="46">
        <v>144</v>
      </c>
      <c r="K611" s="46" t="s">
        <v>1254</v>
      </c>
      <c r="L611" s="46" t="s">
        <v>1255</v>
      </c>
      <c r="M611" s="46" t="s">
        <v>22</v>
      </c>
    </row>
    <row r="612" spans="1:13">
      <c r="A612" s="47">
        <v>45809</v>
      </c>
      <c r="B612" s="46" t="s">
        <v>1128</v>
      </c>
      <c r="C612" s="46" t="s">
        <v>1129</v>
      </c>
      <c r="D612" s="46" t="s">
        <v>1130</v>
      </c>
      <c r="E612" s="46" t="s">
        <v>1131</v>
      </c>
      <c r="F612" s="46">
        <v>179655</v>
      </c>
      <c r="G612" s="46">
        <v>5969</v>
      </c>
      <c r="H612" s="46">
        <v>1158</v>
      </c>
      <c r="I612" s="46">
        <v>725</v>
      </c>
      <c r="J612" s="46">
        <v>292</v>
      </c>
      <c r="K612" s="46" t="s">
        <v>1256</v>
      </c>
      <c r="L612" s="46" t="s">
        <v>1257</v>
      </c>
      <c r="M612" s="46" t="s">
        <v>35</v>
      </c>
    </row>
    <row r="613" spans="1:13">
      <c r="A613" s="47">
        <v>45810</v>
      </c>
      <c r="B613" s="46" t="s">
        <v>1128</v>
      </c>
      <c r="C613" s="46" t="s">
        <v>1129</v>
      </c>
      <c r="D613" s="46" t="s">
        <v>1130</v>
      </c>
      <c r="E613" s="46" t="s">
        <v>1131</v>
      </c>
      <c r="F613" s="46">
        <v>112007</v>
      </c>
      <c r="G613" s="46">
        <v>7687</v>
      </c>
      <c r="H613" s="46">
        <v>1249</v>
      </c>
      <c r="I613" s="46">
        <v>590</v>
      </c>
      <c r="J613" s="46">
        <v>333</v>
      </c>
      <c r="K613" s="46" t="s">
        <v>1258</v>
      </c>
      <c r="L613" s="46" t="s">
        <v>1259</v>
      </c>
      <c r="M613" s="46" t="s">
        <v>46</v>
      </c>
    </row>
    <row r="614" spans="1:13">
      <c r="A614" s="47">
        <v>45811</v>
      </c>
      <c r="B614" s="46" t="s">
        <v>1128</v>
      </c>
      <c r="C614" s="46" t="s">
        <v>1129</v>
      </c>
      <c r="D614" s="46" t="s">
        <v>1130</v>
      </c>
      <c r="E614" s="46" t="s">
        <v>1131</v>
      </c>
      <c r="F614" s="46">
        <v>77080</v>
      </c>
      <c r="G614" s="46">
        <v>2952</v>
      </c>
      <c r="H614" s="46">
        <v>558</v>
      </c>
      <c r="I614" s="46">
        <v>255</v>
      </c>
      <c r="J614" s="46">
        <v>145</v>
      </c>
      <c r="K614" s="46" t="s">
        <v>1260</v>
      </c>
      <c r="L614" s="46" t="s">
        <v>1261</v>
      </c>
      <c r="M614" s="46" t="s">
        <v>35</v>
      </c>
    </row>
    <row r="615" spans="1:13">
      <c r="A615" s="47">
        <v>45812</v>
      </c>
      <c r="B615" s="46" t="s">
        <v>1128</v>
      </c>
      <c r="C615" s="46" t="s">
        <v>1129</v>
      </c>
      <c r="D615" s="46" t="s">
        <v>1130</v>
      </c>
      <c r="E615" s="46" t="s">
        <v>1131</v>
      </c>
      <c r="F615" s="46">
        <v>247271</v>
      </c>
      <c r="G615" s="46">
        <v>13740</v>
      </c>
      <c r="H615" s="46">
        <v>2356</v>
      </c>
      <c r="I615" s="46">
        <v>1075</v>
      </c>
      <c r="J615" s="46">
        <v>541</v>
      </c>
      <c r="K615" s="46" t="s">
        <v>1262</v>
      </c>
      <c r="L615" s="46" t="s">
        <v>1263</v>
      </c>
      <c r="M615" s="46" t="s">
        <v>46</v>
      </c>
    </row>
    <row r="616" spans="1:13">
      <c r="A616" s="47">
        <v>45813</v>
      </c>
      <c r="B616" s="46" t="s">
        <v>1128</v>
      </c>
      <c r="C616" s="46" t="s">
        <v>1129</v>
      </c>
      <c r="D616" s="46" t="s">
        <v>1130</v>
      </c>
      <c r="E616" s="46" t="s">
        <v>1131</v>
      </c>
      <c r="F616" s="46">
        <v>228774</v>
      </c>
      <c r="G616" s="46">
        <v>15253</v>
      </c>
      <c r="H616" s="46">
        <v>3595</v>
      </c>
      <c r="I616" s="46">
        <v>2264</v>
      </c>
      <c r="J616" s="46">
        <v>989</v>
      </c>
      <c r="K616" s="46" t="s">
        <v>1264</v>
      </c>
      <c r="L616" s="46" t="s">
        <v>1265</v>
      </c>
      <c r="M616" s="46" t="s">
        <v>19</v>
      </c>
    </row>
    <row r="617" spans="1:13">
      <c r="A617" s="47">
        <v>45814</v>
      </c>
      <c r="B617" s="46" t="s">
        <v>1128</v>
      </c>
      <c r="C617" s="46" t="s">
        <v>1129</v>
      </c>
      <c r="D617" s="46" t="s">
        <v>1130</v>
      </c>
      <c r="E617" s="46" t="s">
        <v>1131</v>
      </c>
      <c r="F617" s="46">
        <v>140336</v>
      </c>
      <c r="G617" s="46">
        <v>10973</v>
      </c>
      <c r="H617" s="46">
        <v>2525</v>
      </c>
      <c r="I617" s="46">
        <v>1411</v>
      </c>
      <c r="J617" s="46">
        <v>738</v>
      </c>
      <c r="K617" s="46" t="s">
        <v>1266</v>
      </c>
      <c r="L617" s="46" t="s">
        <v>1267</v>
      </c>
      <c r="M617" s="46" t="s">
        <v>19</v>
      </c>
    </row>
    <row r="618" spans="1:13">
      <c r="A618" s="47">
        <v>45815</v>
      </c>
      <c r="B618" s="46" t="s">
        <v>1128</v>
      </c>
      <c r="C618" s="46" t="s">
        <v>1129</v>
      </c>
      <c r="D618" s="46" t="s">
        <v>1130</v>
      </c>
      <c r="E618" s="46" t="s">
        <v>1131</v>
      </c>
      <c r="F618" s="46">
        <v>255443</v>
      </c>
      <c r="G618" s="46">
        <v>9636</v>
      </c>
      <c r="H618" s="46">
        <v>2306</v>
      </c>
      <c r="I618" s="46">
        <v>1082</v>
      </c>
      <c r="J618" s="46">
        <v>528</v>
      </c>
      <c r="K618" s="46" t="s">
        <v>1268</v>
      </c>
      <c r="L618" s="46" t="s">
        <v>1269</v>
      </c>
      <c r="M618" s="46" t="s">
        <v>53</v>
      </c>
    </row>
    <row r="619" spans="1:13">
      <c r="A619" s="47">
        <v>45816</v>
      </c>
      <c r="B619" s="46" t="s">
        <v>1128</v>
      </c>
      <c r="C619" s="46" t="s">
        <v>1129</v>
      </c>
      <c r="D619" s="46" t="s">
        <v>1130</v>
      </c>
      <c r="E619" s="46" t="s">
        <v>1131</v>
      </c>
      <c r="F619" s="46">
        <v>153084</v>
      </c>
      <c r="G619" s="46">
        <v>4907</v>
      </c>
      <c r="H619" s="46">
        <v>999</v>
      </c>
      <c r="I619" s="46">
        <v>538</v>
      </c>
      <c r="J619" s="46">
        <v>307</v>
      </c>
      <c r="K619" s="46" t="s">
        <v>1270</v>
      </c>
      <c r="L619" s="46" t="s">
        <v>1271</v>
      </c>
      <c r="M619" s="46" t="s">
        <v>22</v>
      </c>
    </row>
    <row r="620" spans="1:13">
      <c r="A620" s="47">
        <v>45817</v>
      </c>
      <c r="B620" s="46" t="s">
        <v>1128</v>
      </c>
      <c r="C620" s="46" t="s">
        <v>1129</v>
      </c>
      <c r="D620" s="46" t="s">
        <v>1130</v>
      </c>
      <c r="E620" s="46" t="s">
        <v>1131</v>
      </c>
      <c r="F620" s="46">
        <v>114699</v>
      </c>
      <c r="G620" s="46">
        <v>4802</v>
      </c>
      <c r="H620" s="46">
        <v>801</v>
      </c>
      <c r="I620" s="46">
        <v>375</v>
      </c>
      <c r="J620" s="46">
        <v>175</v>
      </c>
      <c r="K620" s="46" t="s">
        <v>1272</v>
      </c>
      <c r="L620" s="46" t="s">
        <v>1273</v>
      </c>
      <c r="M620" s="46" t="s">
        <v>53</v>
      </c>
    </row>
    <row r="621" spans="1:13">
      <c r="A621" s="47">
        <v>45818</v>
      </c>
      <c r="B621" s="46" t="s">
        <v>1128</v>
      </c>
      <c r="C621" s="46" t="s">
        <v>1129</v>
      </c>
      <c r="D621" s="46" t="s">
        <v>1130</v>
      </c>
      <c r="E621" s="46" t="s">
        <v>1131</v>
      </c>
      <c r="F621" s="46">
        <v>228607</v>
      </c>
      <c r="G621" s="46">
        <v>11316</v>
      </c>
      <c r="H621" s="46">
        <v>2761</v>
      </c>
      <c r="I621" s="46">
        <v>1577</v>
      </c>
      <c r="J621" s="46">
        <v>831</v>
      </c>
      <c r="K621" s="46" t="s">
        <v>1274</v>
      </c>
      <c r="L621" s="46" t="s">
        <v>1275</v>
      </c>
      <c r="M621" s="46" t="s">
        <v>19</v>
      </c>
    </row>
    <row r="622" spans="1:13">
      <c r="A622" s="47">
        <v>45819</v>
      </c>
      <c r="B622" s="46" t="s">
        <v>1128</v>
      </c>
      <c r="C622" s="46" t="s">
        <v>1129</v>
      </c>
      <c r="D622" s="46" t="s">
        <v>1130</v>
      </c>
      <c r="E622" s="46" t="s">
        <v>1131</v>
      </c>
      <c r="F622" s="46">
        <v>115246</v>
      </c>
      <c r="G622" s="46">
        <v>7658</v>
      </c>
      <c r="H622" s="46">
        <v>1593</v>
      </c>
      <c r="I622" s="46">
        <v>756</v>
      </c>
      <c r="J622" s="46">
        <v>338</v>
      </c>
      <c r="K622" s="46" t="s">
        <v>1276</v>
      </c>
      <c r="L622" s="46" t="s">
        <v>1277</v>
      </c>
      <c r="M622" s="46" t="s">
        <v>53</v>
      </c>
    </row>
    <row r="623" spans="1:13">
      <c r="A623" s="47">
        <v>45820</v>
      </c>
      <c r="B623" s="46" t="s">
        <v>1128</v>
      </c>
      <c r="C623" s="46" t="s">
        <v>1129</v>
      </c>
      <c r="D623" s="46" t="s">
        <v>1130</v>
      </c>
      <c r="E623" s="46" t="s">
        <v>1131</v>
      </c>
      <c r="F623" s="46">
        <v>265508</v>
      </c>
      <c r="G623" s="46">
        <v>9396</v>
      </c>
      <c r="H623" s="46">
        <v>1593</v>
      </c>
      <c r="I623" s="46">
        <v>898</v>
      </c>
      <c r="J623" s="46">
        <v>489</v>
      </c>
      <c r="K623" s="46" t="s">
        <v>1278</v>
      </c>
      <c r="L623" s="46" t="s">
        <v>1279</v>
      </c>
      <c r="M623" s="46" t="s">
        <v>19</v>
      </c>
    </row>
    <row r="624" spans="1:13">
      <c r="A624" s="47">
        <v>45821</v>
      </c>
      <c r="B624" s="46" t="s">
        <v>1128</v>
      </c>
      <c r="C624" s="46" t="s">
        <v>1129</v>
      </c>
      <c r="D624" s="46" t="s">
        <v>1130</v>
      </c>
      <c r="E624" s="46" t="s">
        <v>1131</v>
      </c>
      <c r="F624" s="46">
        <v>52092</v>
      </c>
      <c r="G624" s="46">
        <v>2486</v>
      </c>
      <c r="H624" s="46">
        <v>570</v>
      </c>
      <c r="I624" s="46">
        <v>350</v>
      </c>
      <c r="J624" s="46">
        <v>191</v>
      </c>
      <c r="K624" s="46" t="s">
        <v>1280</v>
      </c>
      <c r="L624" s="46" t="s">
        <v>1281</v>
      </c>
      <c r="M624" s="46" t="s">
        <v>53</v>
      </c>
    </row>
    <row r="625" spans="1:13">
      <c r="A625" s="47">
        <v>45822</v>
      </c>
      <c r="B625" s="46" t="s">
        <v>1128</v>
      </c>
      <c r="C625" s="46" t="s">
        <v>1129</v>
      </c>
      <c r="D625" s="46" t="s">
        <v>1130</v>
      </c>
      <c r="E625" s="46" t="s">
        <v>1131</v>
      </c>
      <c r="F625" s="46">
        <v>287149</v>
      </c>
      <c r="G625" s="46">
        <v>12655</v>
      </c>
      <c r="H625" s="46">
        <v>2180</v>
      </c>
      <c r="I625" s="46">
        <v>1116</v>
      </c>
      <c r="J625" s="46">
        <v>601</v>
      </c>
      <c r="K625" s="46" t="s">
        <v>1282</v>
      </c>
      <c r="L625" s="46" t="s">
        <v>1283</v>
      </c>
      <c r="M625" s="46" t="s">
        <v>35</v>
      </c>
    </row>
    <row r="626" spans="1:13">
      <c r="A626" s="47">
        <v>45823</v>
      </c>
      <c r="B626" s="46" t="s">
        <v>1128</v>
      </c>
      <c r="C626" s="46" t="s">
        <v>1129</v>
      </c>
      <c r="D626" s="46" t="s">
        <v>1130</v>
      </c>
      <c r="E626" s="46" t="s">
        <v>1131</v>
      </c>
      <c r="F626" s="46">
        <v>149833</v>
      </c>
      <c r="G626" s="46">
        <v>7012</v>
      </c>
      <c r="H626" s="46">
        <v>1494</v>
      </c>
      <c r="I626" s="46">
        <v>738</v>
      </c>
      <c r="J626" s="46">
        <v>297</v>
      </c>
      <c r="K626" s="46" t="s">
        <v>1284</v>
      </c>
      <c r="L626" s="46" t="s">
        <v>1285</v>
      </c>
      <c r="M626" s="46" t="s">
        <v>19</v>
      </c>
    </row>
    <row r="627" spans="1:13">
      <c r="A627" s="47">
        <v>45824</v>
      </c>
      <c r="B627" s="46" t="s">
        <v>1128</v>
      </c>
      <c r="C627" s="46" t="s">
        <v>1129</v>
      </c>
      <c r="D627" s="46" t="s">
        <v>1130</v>
      </c>
      <c r="E627" s="46" t="s">
        <v>1131</v>
      </c>
      <c r="F627" s="46">
        <v>255927</v>
      </c>
      <c r="G627" s="46">
        <v>12698</v>
      </c>
      <c r="H627" s="46">
        <v>2565</v>
      </c>
      <c r="I627" s="46">
        <v>1291</v>
      </c>
      <c r="J627" s="46">
        <v>774</v>
      </c>
      <c r="K627" s="46" t="s">
        <v>1286</v>
      </c>
      <c r="L627" s="46" t="s">
        <v>1287</v>
      </c>
      <c r="M627" s="46" t="s">
        <v>19</v>
      </c>
    </row>
    <row r="628" spans="1:13">
      <c r="A628" s="47">
        <v>45825</v>
      </c>
      <c r="B628" s="46" t="s">
        <v>1128</v>
      </c>
      <c r="C628" s="46" t="s">
        <v>1129</v>
      </c>
      <c r="D628" s="46" t="s">
        <v>1130</v>
      </c>
      <c r="E628" s="46" t="s">
        <v>1131</v>
      </c>
      <c r="F628" s="46">
        <v>234335</v>
      </c>
      <c r="G628" s="46">
        <v>11764</v>
      </c>
      <c r="H628" s="46">
        <v>1932</v>
      </c>
      <c r="I628" s="46">
        <v>992</v>
      </c>
      <c r="J628" s="46">
        <v>435</v>
      </c>
      <c r="K628" s="46" t="s">
        <v>1288</v>
      </c>
      <c r="L628" s="46" t="s">
        <v>1289</v>
      </c>
      <c r="M628" s="46" t="s">
        <v>35</v>
      </c>
    </row>
    <row r="629" spans="1:13">
      <c r="A629" s="47">
        <v>45826</v>
      </c>
      <c r="B629" s="46" t="s">
        <v>1128</v>
      </c>
      <c r="C629" s="46" t="s">
        <v>1129</v>
      </c>
      <c r="D629" s="46" t="s">
        <v>1130</v>
      </c>
      <c r="E629" s="46" t="s">
        <v>1131</v>
      </c>
      <c r="F629" s="46">
        <v>146202</v>
      </c>
      <c r="G629" s="46">
        <v>11655</v>
      </c>
      <c r="H629" s="46">
        <v>2425</v>
      </c>
      <c r="I629" s="46">
        <v>1140</v>
      </c>
      <c r="J629" s="46">
        <v>460</v>
      </c>
      <c r="K629" s="46" t="s">
        <v>1290</v>
      </c>
      <c r="L629" s="46" t="s">
        <v>1291</v>
      </c>
      <c r="M629" s="46" t="s">
        <v>22</v>
      </c>
    </row>
    <row r="630" spans="1:13">
      <c r="A630" s="47">
        <v>45827</v>
      </c>
      <c r="B630" s="46" t="s">
        <v>1128</v>
      </c>
      <c r="C630" s="46" t="s">
        <v>1129</v>
      </c>
      <c r="D630" s="46" t="s">
        <v>1130</v>
      </c>
      <c r="E630" s="46" t="s">
        <v>1131</v>
      </c>
      <c r="F630" s="46">
        <v>169807</v>
      </c>
      <c r="G630" s="46">
        <v>5900</v>
      </c>
      <c r="H630" s="46">
        <v>1002</v>
      </c>
      <c r="I630" s="46">
        <v>543</v>
      </c>
      <c r="J630" s="46">
        <v>271</v>
      </c>
      <c r="K630" s="46" t="s">
        <v>1292</v>
      </c>
      <c r="L630" s="46" t="s">
        <v>1293</v>
      </c>
      <c r="M630" s="46" t="s">
        <v>19</v>
      </c>
    </row>
    <row r="631" spans="1:13">
      <c r="A631" s="47">
        <v>45828</v>
      </c>
      <c r="B631" s="46" t="s">
        <v>1128</v>
      </c>
      <c r="C631" s="46" t="s">
        <v>1129</v>
      </c>
      <c r="D631" s="46" t="s">
        <v>1130</v>
      </c>
      <c r="E631" s="46" t="s">
        <v>1131</v>
      </c>
      <c r="F631" s="46">
        <v>51060</v>
      </c>
      <c r="G631" s="46">
        <v>2259</v>
      </c>
      <c r="H631" s="46">
        <v>559</v>
      </c>
      <c r="I631" s="46">
        <v>276</v>
      </c>
      <c r="J631" s="46">
        <v>121</v>
      </c>
      <c r="K631" s="46" t="s">
        <v>1294</v>
      </c>
      <c r="L631" s="46" t="s">
        <v>1295</v>
      </c>
      <c r="M631" s="46" t="s">
        <v>46</v>
      </c>
    </row>
    <row r="632" spans="1:13">
      <c r="A632" s="47">
        <v>45829</v>
      </c>
      <c r="B632" s="46" t="s">
        <v>1128</v>
      </c>
      <c r="C632" s="46" t="s">
        <v>1129</v>
      </c>
      <c r="D632" s="46" t="s">
        <v>1130</v>
      </c>
      <c r="E632" s="46" t="s">
        <v>1131</v>
      </c>
      <c r="F632" s="46">
        <v>299910</v>
      </c>
      <c r="G632" s="46">
        <v>23654</v>
      </c>
      <c r="H632" s="46">
        <v>5219</v>
      </c>
      <c r="I632" s="46">
        <v>2461</v>
      </c>
      <c r="J632" s="46">
        <v>1471</v>
      </c>
      <c r="K632" s="46" t="s">
        <v>1296</v>
      </c>
      <c r="L632" s="46" t="s">
        <v>1297</v>
      </c>
      <c r="M632" s="46" t="s">
        <v>35</v>
      </c>
    </row>
    <row r="633" spans="1:13">
      <c r="A633" s="47">
        <v>45830</v>
      </c>
      <c r="B633" s="46" t="s">
        <v>1128</v>
      </c>
      <c r="C633" s="46" t="s">
        <v>1129</v>
      </c>
      <c r="D633" s="46" t="s">
        <v>1130</v>
      </c>
      <c r="E633" s="46" t="s">
        <v>1131</v>
      </c>
      <c r="F633" s="46">
        <v>118757</v>
      </c>
      <c r="G633" s="46">
        <v>6909</v>
      </c>
      <c r="H633" s="46">
        <v>1251</v>
      </c>
      <c r="I633" s="46">
        <v>711</v>
      </c>
      <c r="J633" s="46">
        <v>363</v>
      </c>
      <c r="K633" s="46" t="s">
        <v>1298</v>
      </c>
      <c r="L633" s="46" t="s">
        <v>1299</v>
      </c>
      <c r="M633" s="46" t="s">
        <v>35</v>
      </c>
    </row>
    <row r="634" spans="1:13">
      <c r="A634" s="47">
        <v>45831</v>
      </c>
      <c r="B634" s="46" t="s">
        <v>1128</v>
      </c>
      <c r="C634" s="46" t="s">
        <v>1129</v>
      </c>
      <c r="D634" s="46" t="s">
        <v>1130</v>
      </c>
      <c r="E634" s="46" t="s">
        <v>1131</v>
      </c>
      <c r="F634" s="46">
        <v>215965</v>
      </c>
      <c r="G634" s="46">
        <v>16744</v>
      </c>
      <c r="H634" s="46">
        <v>3264</v>
      </c>
      <c r="I634" s="46">
        <v>1645</v>
      </c>
      <c r="J634" s="46">
        <v>772</v>
      </c>
      <c r="K634" s="46" t="s">
        <v>1300</v>
      </c>
      <c r="L634" s="46" t="s">
        <v>1301</v>
      </c>
      <c r="M634" s="46" t="s">
        <v>46</v>
      </c>
    </row>
    <row r="635" spans="1:13">
      <c r="A635" s="47">
        <v>45832</v>
      </c>
      <c r="B635" s="46" t="s">
        <v>1128</v>
      </c>
      <c r="C635" s="46" t="s">
        <v>1129</v>
      </c>
      <c r="D635" s="46" t="s">
        <v>1130</v>
      </c>
      <c r="E635" s="46" t="s">
        <v>1131</v>
      </c>
      <c r="F635" s="46">
        <v>251296</v>
      </c>
      <c r="G635" s="46">
        <v>15390</v>
      </c>
      <c r="H635" s="46">
        <v>3332</v>
      </c>
      <c r="I635" s="46">
        <v>1741</v>
      </c>
      <c r="J635" s="46">
        <v>721</v>
      </c>
      <c r="K635" s="46" t="s">
        <v>1302</v>
      </c>
      <c r="L635" s="46" t="s">
        <v>1303</v>
      </c>
      <c r="M635" s="46" t="s">
        <v>46</v>
      </c>
    </row>
    <row r="636" spans="1:13">
      <c r="A636" s="47">
        <v>45833</v>
      </c>
      <c r="B636" s="46" t="s">
        <v>1128</v>
      </c>
      <c r="C636" s="46" t="s">
        <v>1129</v>
      </c>
      <c r="D636" s="46" t="s">
        <v>1130</v>
      </c>
      <c r="E636" s="46" t="s">
        <v>1131</v>
      </c>
      <c r="F636" s="46">
        <v>58479</v>
      </c>
      <c r="G636" s="46">
        <v>3449</v>
      </c>
      <c r="H636" s="46">
        <v>525</v>
      </c>
      <c r="I636" s="46">
        <v>332</v>
      </c>
      <c r="J636" s="46">
        <v>138</v>
      </c>
      <c r="K636" s="46" t="s">
        <v>1304</v>
      </c>
      <c r="L636" s="46" t="s">
        <v>1305</v>
      </c>
      <c r="M636" s="46" t="s">
        <v>46</v>
      </c>
    </row>
    <row r="637" spans="1:13">
      <c r="A637" s="47">
        <v>45834</v>
      </c>
      <c r="B637" s="46" t="s">
        <v>1128</v>
      </c>
      <c r="C637" s="46" t="s">
        <v>1129</v>
      </c>
      <c r="D637" s="46" t="s">
        <v>1130</v>
      </c>
      <c r="E637" s="46" t="s">
        <v>1131</v>
      </c>
      <c r="F637" s="46">
        <v>89905</v>
      </c>
      <c r="G637" s="46">
        <v>4837</v>
      </c>
      <c r="H637" s="46">
        <v>875</v>
      </c>
      <c r="I637" s="46">
        <v>550</v>
      </c>
      <c r="J637" s="46">
        <v>241</v>
      </c>
      <c r="K637" s="46" t="s">
        <v>1306</v>
      </c>
      <c r="L637" s="46" t="s">
        <v>1307</v>
      </c>
      <c r="M637" s="46" t="s">
        <v>46</v>
      </c>
    </row>
    <row r="638" spans="1:13">
      <c r="A638" s="47">
        <v>45835</v>
      </c>
      <c r="B638" s="46" t="s">
        <v>1128</v>
      </c>
      <c r="C638" s="46" t="s">
        <v>1129</v>
      </c>
      <c r="D638" s="46" t="s">
        <v>1130</v>
      </c>
      <c r="E638" s="46" t="s">
        <v>1131</v>
      </c>
      <c r="F638" s="46">
        <v>92090</v>
      </c>
      <c r="G638" s="46">
        <v>5092</v>
      </c>
      <c r="H638" s="46">
        <v>879</v>
      </c>
      <c r="I638" s="46">
        <v>474</v>
      </c>
      <c r="J638" s="46">
        <v>260</v>
      </c>
      <c r="K638" s="46" t="s">
        <v>1308</v>
      </c>
      <c r="L638" s="46" t="s">
        <v>1309</v>
      </c>
      <c r="M638" s="46" t="s">
        <v>46</v>
      </c>
    </row>
    <row r="639" spans="1:13">
      <c r="A639" s="47">
        <v>45836</v>
      </c>
      <c r="B639" s="46" t="s">
        <v>1128</v>
      </c>
      <c r="C639" s="46" t="s">
        <v>1129</v>
      </c>
      <c r="D639" s="46" t="s">
        <v>1130</v>
      </c>
      <c r="E639" s="46" t="s">
        <v>1131</v>
      </c>
      <c r="F639" s="46">
        <v>118966</v>
      </c>
      <c r="G639" s="46">
        <v>6945</v>
      </c>
      <c r="H639" s="46">
        <v>1680</v>
      </c>
      <c r="I639" s="46">
        <v>1063</v>
      </c>
      <c r="J639" s="46">
        <v>602</v>
      </c>
      <c r="K639" s="46" t="s">
        <v>1310</v>
      </c>
      <c r="L639" s="46" t="s">
        <v>1311</v>
      </c>
      <c r="M639" s="46" t="s">
        <v>22</v>
      </c>
    </row>
    <row r="640" spans="1:13">
      <c r="A640" s="47">
        <v>45837</v>
      </c>
      <c r="B640" s="46" t="s">
        <v>1128</v>
      </c>
      <c r="C640" s="46" t="s">
        <v>1129</v>
      </c>
      <c r="D640" s="46" t="s">
        <v>1130</v>
      </c>
      <c r="E640" s="46" t="s">
        <v>1131</v>
      </c>
      <c r="F640" s="46">
        <v>54787</v>
      </c>
      <c r="G640" s="46">
        <v>2701</v>
      </c>
      <c r="H640" s="46">
        <v>414</v>
      </c>
      <c r="I640" s="46">
        <v>256</v>
      </c>
      <c r="J640" s="46">
        <v>108</v>
      </c>
      <c r="K640" s="46" t="s">
        <v>1312</v>
      </c>
      <c r="L640" s="46" t="s">
        <v>1313</v>
      </c>
      <c r="M640" s="46" t="s">
        <v>46</v>
      </c>
    </row>
    <row r="641" spans="1:13">
      <c r="A641" s="47">
        <v>45838</v>
      </c>
      <c r="B641" s="46" t="s">
        <v>1128</v>
      </c>
      <c r="C641" s="46" t="s">
        <v>1129</v>
      </c>
      <c r="D641" s="46" t="s">
        <v>1130</v>
      </c>
      <c r="E641" s="46" t="s">
        <v>1131</v>
      </c>
      <c r="F641" s="46">
        <v>81314</v>
      </c>
      <c r="G641" s="46">
        <v>3799</v>
      </c>
      <c r="H641" s="46">
        <v>757</v>
      </c>
      <c r="I641" s="46">
        <v>427</v>
      </c>
      <c r="J641" s="46">
        <v>191</v>
      </c>
      <c r="K641" s="46" t="s">
        <v>1314</v>
      </c>
      <c r="L641" s="46" t="s">
        <v>1315</v>
      </c>
      <c r="M641" s="46" t="s">
        <v>35</v>
      </c>
    </row>
    <row r="642" spans="1:13">
      <c r="A642" s="47">
        <v>45839</v>
      </c>
      <c r="B642" s="46" t="s">
        <v>1128</v>
      </c>
      <c r="C642" s="46" t="s">
        <v>1129</v>
      </c>
      <c r="D642" s="46" t="s">
        <v>1130</v>
      </c>
      <c r="E642" s="46" t="s">
        <v>1131</v>
      </c>
      <c r="F642" s="46">
        <v>92036</v>
      </c>
      <c r="G642" s="46">
        <v>5655</v>
      </c>
      <c r="H642" s="46">
        <v>1370</v>
      </c>
      <c r="I642" s="46">
        <v>718</v>
      </c>
      <c r="J642" s="46">
        <v>314</v>
      </c>
      <c r="K642" s="46" t="s">
        <v>1316</v>
      </c>
      <c r="L642" s="46" t="s">
        <v>1317</v>
      </c>
      <c r="M642" s="46" t="s">
        <v>46</v>
      </c>
    </row>
    <row r="643" spans="1:13">
      <c r="A643" s="47">
        <v>45840</v>
      </c>
      <c r="B643" s="46" t="s">
        <v>1128</v>
      </c>
      <c r="C643" s="46" t="s">
        <v>1129</v>
      </c>
      <c r="D643" s="46" t="s">
        <v>1130</v>
      </c>
      <c r="E643" s="46" t="s">
        <v>1131</v>
      </c>
      <c r="F643" s="46">
        <v>269403</v>
      </c>
      <c r="G643" s="46">
        <v>18663</v>
      </c>
      <c r="H643" s="46">
        <v>4144</v>
      </c>
      <c r="I643" s="46">
        <v>2502</v>
      </c>
      <c r="J643" s="46">
        <v>1360</v>
      </c>
      <c r="K643" s="46" t="s">
        <v>1318</v>
      </c>
      <c r="L643" s="46" t="s">
        <v>1319</v>
      </c>
      <c r="M643" s="46" t="s">
        <v>53</v>
      </c>
    </row>
    <row r="644" spans="1:13">
      <c r="A644" s="47">
        <v>45841</v>
      </c>
      <c r="B644" s="46" t="s">
        <v>1128</v>
      </c>
      <c r="C644" s="46" t="s">
        <v>1129</v>
      </c>
      <c r="D644" s="46" t="s">
        <v>1130</v>
      </c>
      <c r="E644" s="46" t="s">
        <v>1131</v>
      </c>
      <c r="F644" s="46">
        <v>56759</v>
      </c>
      <c r="G644" s="46">
        <v>4315</v>
      </c>
      <c r="H644" s="46">
        <v>975</v>
      </c>
      <c r="I644" s="46">
        <v>572</v>
      </c>
      <c r="J644" s="46">
        <v>279</v>
      </c>
      <c r="K644" s="46" t="s">
        <v>1320</v>
      </c>
      <c r="L644" s="46" t="s">
        <v>1321</v>
      </c>
      <c r="M644" s="46" t="s">
        <v>46</v>
      </c>
    </row>
    <row r="645" spans="1:13">
      <c r="A645" s="47">
        <v>45842</v>
      </c>
      <c r="B645" s="46" t="s">
        <v>1128</v>
      </c>
      <c r="C645" s="46" t="s">
        <v>1129</v>
      </c>
      <c r="D645" s="46" t="s">
        <v>1130</v>
      </c>
      <c r="E645" s="46" t="s">
        <v>1131</v>
      </c>
      <c r="F645" s="46">
        <v>294725</v>
      </c>
      <c r="G645" s="46">
        <v>14169</v>
      </c>
      <c r="H645" s="46">
        <v>3083</v>
      </c>
      <c r="I645" s="46">
        <v>1956</v>
      </c>
      <c r="J645" s="46">
        <v>783</v>
      </c>
      <c r="K645" s="46" t="s">
        <v>1322</v>
      </c>
      <c r="L645" s="46" t="s">
        <v>1323</v>
      </c>
      <c r="M645" s="46" t="s">
        <v>35</v>
      </c>
    </row>
    <row r="646" spans="1:13">
      <c r="A646" s="47">
        <v>45843</v>
      </c>
      <c r="B646" s="46" t="s">
        <v>1128</v>
      </c>
      <c r="C646" s="46" t="s">
        <v>1129</v>
      </c>
      <c r="D646" s="46" t="s">
        <v>1130</v>
      </c>
      <c r="E646" s="46" t="s">
        <v>1131</v>
      </c>
      <c r="F646" s="46">
        <v>284349</v>
      </c>
      <c r="G646" s="46">
        <v>9408</v>
      </c>
      <c r="H646" s="46">
        <v>1926</v>
      </c>
      <c r="I646" s="46">
        <v>1228</v>
      </c>
      <c r="J646" s="46">
        <v>734</v>
      </c>
      <c r="K646" s="46" t="s">
        <v>1324</v>
      </c>
      <c r="L646" s="46" t="s">
        <v>1325</v>
      </c>
      <c r="M646" s="46" t="s">
        <v>46</v>
      </c>
    </row>
    <row r="647" spans="1:13">
      <c r="A647" s="47">
        <v>45844</v>
      </c>
      <c r="B647" s="46" t="s">
        <v>1128</v>
      </c>
      <c r="C647" s="46" t="s">
        <v>1129</v>
      </c>
      <c r="D647" s="46" t="s">
        <v>1130</v>
      </c>
      <c r="E647" s="46" t="s">
        <v>1131</v>
      </c>
      <c r="F647" s="46">
        <v>215773</v>
      </c>
      <c r="G647" s="46">
        <v>11011</v>
      </c>
      <c r="H647" s="46">
        <v>2592</v>
      </c>
      <c r="I647" s="46">
        <v>1638</v>
      </c>
      <c r="J647" s="46">
        <v>787</v>
      </c>
      <c r="K647" s="46" t="s">
        <v>1326</v>
      </c>
      <c r="L647" s="46" t="s">
        <v>1327</v>
      </c>
      <c r="M647" s="46" t="s">
        <v>35</v>
      </c>
    </row>
    <row r="648" spans="1:13">
      <c r="A648" s="47">
        <v>45845</v>
      </c>
      <c r="B648" s="46" t="s">
        <v>1128</v>
      </c>
      <c r="C648" s="46" t="s">
        <v>1129</v>
      </c>
      <c r="D648" s="46" t="s">
        <v>1130</v>
      </c>
      <c r="E648" s="46" t="s">
        <v>1131</v>
      </c>
      <c r="F648" s="46">
        <v>265814</v>
      </c>
      <c r="G648" s="46">
        <v>18135</v>
      </c>
      <c r="H648" s="46">
        <v>3413</v>
      </c>
      <c r="I648" s="46">
        <v>1802</v>
      </c>
      <c r="J648" s="46">
        <v>979</v>
      </c>
      <c r="K648" s="46" t="s">
        <v>1328</v>
      </c>
      <c r="L648" s="46" t="s">
        <v>1329</v>
      </c>
      <c r="M648" s="46" t="s">
        <v>46</v>
      </c>
    </row>
    <row r="649" spans="1:13">
      <c r="A649" s="47">
        <v>45846</v>
      </c>
      <c r="B649" s="46" t="s">
        <v>1128</v>
      </c>
      <c r="C649" s="46" t="s">
        <v>1129</v>
      </c>
      <c r="D649" s="46" t="s">
        <v>1130</v>
      </c>
      <c r="E649" s="46" t="s">
        <v>1131</v>
      </c>
      <c r="F649" s="46">
        <v>254425</v>
      </c>
      <c r="G649" s="46">
        <v>11942</v>
      </c>
      <c r="H649" s="46">
        <v>2510</v>
      </c>
      <c r="I649" s="46">
        <v>1384</v>
      </c>
      <c r="J649" s="46">
        <v>700</v>
      </c>
      <c r="K649" s="46" t="s">
        <v>1330</v>
      </c>
      <c r="L649" s="46" t="s">
        <v>1331</v>
      </c>
      <c r="M649" s="46" t="s">
        <v>22</v>
      </c>
    </row>
    <row r="650" spans="1:13">
      <c r="A650" s="47">
        <v>45847</v>
      </c>
      <c r="B650" s="46" t="s">
        <v>1128</v>
      </c>
      <c r="C650" s="46" t="s">
        <v>1129</v>
      </c>
      <c r="D650" s="46" t="s">
        <v>1130</v>
      </c>
      <c r="E650" s="46" t="s">
        <v>1131</v>
      </c>
      <c r="F650" s="46">
        <v>259369</v>
      </c>
      <c r="G650" s="46">
        <v>9336</v>
      </c>
      <c r="H650" s="46">
        <v>2252</v>
      </c>
      <c r="I650" s="46">
        <v>1107</v>
      </c>
      <c r="J650" s="46">
        <v>588</v>
      </c>
      <c r="K650" s="46" t="s">
        <v>1332</v>
      </c>
      <c r="L650" s="46" t="s">
        <v>1333</v>
      </c>
      <c r="M650" s="46" t="s">
        <v>53</v>
      </c>
    </row>
    <row r="651" spans="1:13">
      <c r="A651" s="47">
        <v>45848</v>
      </c>
      <c r="B651" s="46" t="s">
        <v>1128</v>
      </c>
      <c r="C651" s="46" t="s">
        <v>1129</v>
      </c>
      <c r="D651" s="46" t="s">
        <v>1130</v>
      </c>
      <c r="E651" s="46" t="s">
        <v>1131</v>
      </c>
      <c r="F651" s="46">
        <v>221044</v>
      </c>
      <c r="G651" s="46">
        <v>13069</v>
      </c>
      <c r="H651" s="46">
        <v>2745</v>
      </c>
      <c r="I651" s="46">
        <v>1298</v>
      </c>
      <c r="J651" s="46">
        <v>558</v>
      </c>
      <c r="K651" s="46" t="s">
        <v>1334</v>
      </c>
      <c r="L651" s="46" t="s">
        <v>1335</v>
      </c>
      <c r="M651" s="46" t="s">
        <v>22</v>
      </c>
    </row>
    <row r="652" spans="1:13">
      <c r="A652" s="47">
        <v>45849</v>
      </c>
      <c r="B652" s="46" t="s">
        <v>1128</v>
      </c>
      <c r="C652" s="46" t="s">
        <v>1129</v>
      </c>
      <c r="D652" s="46" t="s">
        <v>1130</v>
      </c>
      <c r="E652" s="46" t="s">
        <v>1131</v>
      </c>
      <c r="F652" s="46">
        <v>94706</v>
      </c>
      <c r="G652" s="46">
        <v>5747</v>
      </c>
      <c r="H652" s="46">
        <v>890</v>
      </c>
      <c r="I652" s="46">
        <v>494</v>
      </c>
      <c r="J652" s="46">
        <v>278</v>
      </c>
      <c r="K652" s="46" t="s">
        <v>1336</v>
      </c>
      <c r="L652" s="46" t="s">
        <v>1337</v>
      </c>
      <c r="M652" s="46" t="s">
        <v>46</v>
      </c>
    </row>
    <row r="653" spans="1:13">
      <c r="A653" s="47">
        <v>45850</v>
      </c>
      <c r="B653" s="46" t="s">
        <v>1128</v>
      </c>
      <c r="C653" s="46" t="s">
        <v>1129</v>
      </c>
      <c r="D653" s="46" t="s">
        <v>1130</v>
      </c>
      <c r="E653" s="46" t="s">
        <v>1131</v>
      </c>
      <c r="F653" s="46">
        <v>176503</v>
      </c>
      <c r="G653" s="46">
        <v>10957</v>
      </c>
      <c r="H653" s="46">
        <v>1846</v>
      </c>
      <c r="I653" s="46">
        <v>985</v>
      </c>
      <c r="J653" s="46">
        <v>397</v>
      </c>
      <c r="K653" s="46" t="s">
        <v>1338</v>
      </c>
      <c r="L653" s="46" t="s">
        <v>1339</v>
      </c>
      <c r="M653" s="46" t="s">
        <v>35</v>
      </c>
    </row>
    <row r="654" spans="1:13">
      <c r="A654" s="47">
        <v>45851</v>
      </c>
      <c r="B654" s="46" t="s">
        <v>1128</v>
      </c>
      <c r="C654" s="46" t="s">
        <v>1129</v>
      </c>
      <c r="D654" s="46" t="s">
        <v>1130</v>
      </c>
      <c r="E654" s="46" t="s">
        <v>1131</v>
      </c>
      <c r="F654" s="46">
        <v>237358</v>
      </c>
      <c r="G654" s="46">
        <v>14516</v>
      </c>
      <c r="H654" s="46">
        <v>2484</v>
      </c>
      <c r="I654" s="46">
        <v>1272</v>
      </c>
      <c r="J654" s="46">
        <v>548</v>
      </c>
      <c r="K654" s="46" t="s">
        <v>1340</v>
      </c>
      <c r="L654" s="46" t="s">
        <v>1341</v>
      </c>
      <c r="M654" s="46" t="s">
        <v>53</v>
      </c>
    </row>
    <row r="655" spans="1:13">
      <c r="A655" s="47">
        <v>45852</v>
      </c>
      <c r="B655" s="46" t="s">
        <v>1128</v>
      </c>
      <c r="C655" s="46" t="s">
        <v>1129</v>
      </c>
      <c r="D655" s="46" t="s">
        <v>1130</v>
      </c>
      <c r="E655" s="46" t="s">
        <v>1131</v>
      </c>
      <c r="F655" s="46">
        <v>50848</v>
      </c>
      <c r="G655" s="46">
        <v>3877</v>
      </c>
      <c r="H655" s="46">
        <v>825</v>
      </c>
      <c r="I655" s="46">
        <v>405</v>
      </c>
      <c r="J655" s="46">
        <v>190</v>
      </c>
      <c r="K655" s="46" t="s">
        <v>1342</v>
      </c>
      <c r="L655" s="46" t="s">
        <v>1343</v>
      </c>
      <c r="M655" s="46" t="s">
        <v>19</v>
      </c>
    </row>
    <row r="656" spans="1:13">
      <c r="A656" s="47">
        <v>45853</v>
      </c>
      <c r="B656" s="46" t="s">
        <v>1128</v>
      </c>
      <c r="C656" s="46" t="s">
        <v>1129</v>
      </c>
      <c r="D656" s="46" t="s">
        <v>1130</v>
      </c>
      <c r="E656" s="46" t="s">
        <v>1131</v>
      </c>
      <c r="F656" s="46">
        <v>96272</v>
      </c>
      <c r="G656" s="46">
        <v>7109</v>
      </c>
      <c r="H656" s="46">
        <v>1160</v>
      </c>
      <c r="I656" s="46">
        <v>673</v>
      </c>
      <c r="J656" s="46">
        <v>373</v>
      </c>
      <c r="K656" s="46" t="s">
        <v>1344</v>
      </c>
      <c r="L656" s="46" t="s">
        <v>1345</v>
      </c>
      <c r="M656" s="46" t="s">
        <v>46</v>
      </c>
    </row>
    <row r="657" spans="1:13">
      <c r="A657" s="47">
        <v>45854</v>
      </c>
      <c r="B657" s="46" t="s">
        <v>1128</v>
      </c>
      <c r="C657" s="46" t="s">
        <v>1129</v>
      </c>
      <c r="D657" s="46" t="s">
        <v>1130</v>
      </c>
      <c r="E657" s="46" t="s">
        <v>1131</v>
      </c>
      <c r="F657" s="46">
        <v>163136</v>
      </c>
      <c r="G657" s="46">
        <v>7760</v>
      </c>
      <c r="H657" s="46">
        <v>1293</v>
      </c>
      <c r="I657" s="46">
        <v>616</v>
      </c>
      <c r="J657" s="46">
        <v>309</v>
      </c>
      <c r="K657" s="46" t="s">
        <v>1346</v>
      </c>
      <c r="L657" s="46" t="s">
        <v>1347</v>
      </c>
      <c r="M657" s="46" t="s">
        <v>53</v>
      </c>
    </row>
    <row r="658" spans="1:13">
      <c r="A658" s="47">
        <v>45855</v>
      </c>
      <c r="B658" s="46" t="s">
        <v>1128</v>
      </c>
      <c r="C658" s="46" t="s">
        <v>1129</v>
      </c>
      <c r="D658" s="46" t="s">
        <v>1130</v>
      </c>
      <c r="E658" s="46" t="s">
        <v>1131</v>
      </c>
      <c r="F658" s="46">
        <v>224881</v>
      </c>
      <c r="G658" s="46">
        <v>13220</v>
      </c>
      <c r="H658" s="46">
        <v>2919</v>
      </c>
      <c r="I658" s="46">
        <v>1678</v>
      </c>
      <c r="J658" s="46">
        <v>726</v>
      </c>
      <c r="K658" s="46" t="s">
        <v>1348</v>
      </c>
      <c r="L658" s="46" t="s">
        <v>1349</v>
      </c>
      <c r="M658" s="46" t="s">
        <v>53</v>
      </c>
    </row>
    <row r="659" spans="1:13">
      <c r="A659" s="47">
        <v>45856</v>
      </c>
      <c r="B659" s="46" t="s">
        <v>1128</v>
      </c>
      <c r="C659" s="46" t="s">
        <v>1129</v>
      </c>
      <c r="D659" s="46" t="s">
        <v>1130</v>
      </c>
      <c r="E659" s="46" t="s">
        <v>1131</v>
      </c>
      <c r="F659" s="46">
        <v>107896</v>
      </c>
      <c r="G659" s="46">
        <v>6609</v>
      </c>
      <c r="H659" s="46">
        <v>1436</v>
      </c>
      <c r="I659" s="46">
        <v>892</v>
      </c>
      <c r="J659" s="46">
        <v>459</v>
      </c>
      <c r="K659" s="46" t="s">
        <v>1350</v>
      </c>
      <c r="L659" s="46" t="s">
        <v>1351</v>
      </c>
      <c r="M659" s="46" t="s">
        <v>35</v>
      </c>
    </row>
    <row r="660" spans="1:13">
      <c r="A660" s="47">
        <v>45857</v>
      </c>
      <c r="B660" s="46" t="s">
        <v>1128</v>
      </c>
      <c r="C660" s="46" t="s">
        <v>1129</v>
      </c>
      <c r="D660" s="46" t="s">
        <v>1130</v>
      </c>
      <c r="E660" s="46" t="s">
        <v>1131</v>
      </c>
      <c r="F660" s="46">
        <v>100529</v>
      </c>
      <c r="G660" s="46">
        <v>3042</v>
      </c>
      <c r="H660" s="46">
        <v>580</v>
      </c>
      <c r="I660" s="46">
        <v>326</v>
      </c>
      <c r="J660" s="46">
        <v>173</v>
      </c>
      <c r="K660" s="46" t="s">
        <v>1352</v>
      </c>
      <c r="L660" s="46" t="s">
        <v>1353</v>
      </c>
      <c r="M660" s="46" t="s">
        <v>35</v>
      </c>
    </row>
    <row r="661" spans="1:13">
      <c r="A661" s="47">
        <v>45858</v>
      </c>
      <c r="B661" s="46" t="s">
        <v>1128</v>
      </c>
      <c r="C661" s="46" t="s">
        <v>1129</v>
      </c>
      <c r="D661" s="46" t="s">
        <v>1130</v>
      </c>
      <c r="E661" s="46" t="s">
        <v>1131</v>
      </c>
      <c r="F661" s="46">
        <v>59847</v>
      </c>
      <c r="G661" s="46">
        <v>4601</v>
      </c>
      <c r="H661" s="46">
        <v>734</v>
      </c>
      <c r="I661" s="46">
        <v>338</v>
      </c>
      <c r="J661" s="46">
        <v>157</v>
      </c>
      <c r="K661" s="46" t="s">
        <v>1354</v>
      </c>
      <c r="L661" s="46" t="s">
        <v>1355</v>
      </c>
      <c r="M661" s="46" t="s">
        <v>22</v>
      </c>
    </row>
    <row r="662" spans="1:13">
      <c r="A662" s="47">
        <v>45859</v>
      </c>
      <c r="B662" s="46" t="s">
        <v>1128</v>
      </c>
      <c r="C662" s="46" t="s">
        <v>1129</v>
      </c>
      <c r="D662" s="46" t="s">
        <v>1130</v>
      </c>
      <c r="E662" s="46" t="s">
        <v>1131</v>
      </c>
      <c r="F662" s="46">
        <v>183044</v>
      </c>
      <c r="G662" s="46">
        <v>9780</v>
      </c>
      <c r="H662" s="46">
        <v>2113</v>
      </c>
      <c r="I662" s="46">
        <v>1094</v>
      </c>
      <c r="J662" s="46">
        <v>518</v>
      </c>
      <c r="K662" s="46" t="s">
        <v>1356</v>
      </c>
      <c r="L662" s="46" t="s">
        <v>1357</v>
      </c>
      <c r="M662" s="46" t="s">
        <v>35</v>
      </c>
    </row>
    <row r="663" spans="1:13">
      <c r="A663" s="47">
        <v>45860</v>
      </c>
      <c r="B663" s="46" t="s">
        <v>1128</v>
      </c>
      <c r="C663" s="46" t="s">
        <v>1129</v>
      </c>
      <c r="D663" s="46" t="s">
        <v>1130</v>
      </c>
      <c r="E663" s="46" t="s">
        <v>1131</v>
      </c>
      <c r="F663" s="46">
        <v>295519</v>
      </c>
      <c r="G663" s="46">
        <v>20154</v>
      </c>
      <c r="H663" s="46">
        <v>3461</v>
      </c>
      <c r="I663" s="46">
        <v>1995</v>
      </c>
      <c r="J663" s="46">
        <v>1138</v>
      </c>
      <c r="K663" s="46" t="s">
        <v>1358</v>
      </c>
      <c r="L663" s="46" t="s">
        <v>1359</v>
      </c>
      <c r="M663" s="46" t="s">
        <v>22</v>
      </c>
    </row>
    <row r="664" spans="1:13">
      <c r="A664" s="47">
        <v>45861</v>
      </c>
      <c r="B664" s="46" t="s">
        <v>1128</v>
      </c>
      <c r="C664" s="46" t="s">
        <v>1129</v>
      </c>
      <c r="D664" s="46" t="s">
        <v>1130</v>
      </c>
      <c r="E664" s="46" t="s">
        <v>1131</v>
      </c>
      <c r="F664" s="46">
        <v>102281</v>
      </c>
      <c r="G664" s="46">
        <v>7277</v>
      </c>
      <c r="H664" s="46">
        <v>1524</v>
      </c>
      <c r="I664" s="46">
        <v>814</v>
      </c>
      <c r="J664" s="46">
        <v>398</v>
      </c>
      <c r="K664" s="46" t="s">
        <v>1360</v>
      </c>
      <c r="L664" s="46" t="s">
        <v>1361</v>
      </c>
      <c r="M664" s="46" t="s">
        <v>22</v>
      </c>
    </row>
    <row r="665" spans="1:13">
      <c r="A665" s="47">
        <v>45862</v>
      </c>
      <c r="B665" s="46" t="s">
        <v>1128</v>
      </c>
      <c r="C665" s="46" t="s">
        <v>1129</v>
      </c>
      <c r="D665" s="46" t="s">
        <v>1130</v>
      </c>
      <c r="E665" s="46" t="s">
        <v>1131</v>
      </c>
      <c r="F665" s="46">
        <v>69228</v>
      </c>
      <c r="G665" s="46">
        <v>2248</v>
      </c>
      <c r="H665" s="46">
        <v>378</v>
      </c>
      <c r="I665" s="46">
        <v>231</v>
      </c>
      <c r="J665" s="46">
        <v>127</v>
      </c>
      <c r="K665" s="46" t="s">
        <v>1362</v>
      </c>
      <c r="L665" s="46" t="s">
        <v>1363</v>
      </c>
      <c r="M665" s="46" t="s">
        <v>22</v>
      </c>
    </row>
    <row r="666" spans="1:13">
      <c r="A666" s="47">
        <v>45863</v>
      </c>
      <c r="B666" s="46" t="s">
        <v>1128</v>
      </c>
      <c r="C666" s="46" t="s">
        <v>1129</v>
      </c>
      <c r="D666" s="46" t="s">
        <v>1130</v>
      </c>
      <c r="E666" s="46" t="s">
        <v>1131</v>
      </c>
      <c r="F666" s="46">
        <v>195078</v>
      </c>
      <c r="G666" s="46">
        <v>11378</v>
      </c>
      <c r="H666" s="46">
        <v>2824</v>
      </c>
      <c r="I666" s="46">
        <v>1362</v>
      </c>
      <c r="J666" s="46">
        <v>720</v>
      </c>
      <c r="K666" s="46" t="s">
        <v>1364</v>
      </c>
      <c r="L666" s="46" t="s">
        <v>1365</v>
      </c>
      <c r="M666" s="46" t="s">
        <v>22</v>
      </c>
    </row>
    <row r="667" spans="1:13">
      <c r="A667" s="47">
        <v>45864</v>
      </c>
      <c r="B667" s="46" t="s">
        <v>1128</v>
      </c>
      <c r="C667" s="46" t="s">
        <v>1129</v>
      </c>
      <c r="D667" s="46" t="s">
        <v>1130</v>
      </c>
      <c r="E667" s="46" t="s">
        <v>1131</v>
      </c>
      <c r="F667" s="46">
        <v>98148</v>
      </c>
      <c r="G667" s="46">
        <v>6924</v>
      </c>
      <c r="H667" s="46">
        <v>1556</v>
      </c>
      <c r="I667" s="46">
        <v>839</v>
      </c>
      <c r="J667" s="46">
        <v>415</v>
      </c>
      <c r="K667" s="46" t="s">
        <v>1366</v>
      </c>
      <c r="L667" s="46" t="s">
        <v>1367</v>
      </c>
      <c r="M667" s="46" t="s">
        <v>35</v>
      </c>
    </row>
    <row r="668" spans="1:13">
      <c r="A668" s="47">
        <v>45865</v>
      </c>
      <c r="B668" s="46" t="s">
        <v>1128</v>
      </c>
      <c r="C668" s="46" t="s">
        <v>1129</v>
      </c>
      <c r="D668" s="46" t="s">
        <v>1130</v>
      </c>
      <c r="E668" s="46" t="s">
        <v>1131</v>
      </c>
      <c r="F668" s="46">
        <v>288669</v>
      </c>
      <c r="G668" s="46">
        <v>16685</v>
      </c>
      <c r="H668" s="46">
        <v>2685</v>
      </c>
      <c r="I668" s="46">
        <v>1692</v>
      </c>
      <c r="J668" s="46">
        <v>697</v>
      </c>
      <c r="K668" s="46" t="s">
        <v>1368</v>
      </c>
      <c r="L668" s="46" t="s">
        <v>1369</v>
      </c>
      <c r="M668" s="46" t="s">
        <v>19</v>
      </c>
    </row>
    <row r="669" spans="1:13">
      <c r="A669" s="47">
        <v>45866</v>
      </c>
      <c r="B669" s="46" t="s">
        <v>1128</v>
      </c>
      <c r="C669" s="46" t="s">
        <v>1129</v>
      </c>
      <c r="D669" s="46" t="s">
        <v>1130</v>
      </c>
      <c r="E669" s="46" t="s">
        <v>1131</v>
      </c>
      <c r="F669" s="46">
        <v>228940</v>
      </c>
      <c r="G669" s="46">
        <v>7307</v>
      </c>
      <c r="H669" s="46">
        <v>1297</v>
      </c>
      <c r="I669" s="46">
        <v>812</v>
      </c>
      <c r="J669" s="46">
        <v>445</v>
      </c>
      <c r="K669" s="46" t="s">
        <v>1370</v>
      </c>
      <c r="L669" s="46" t="s">
        <v>1371</v>
      </c>
      <c r="M669" s="46" t="s">
        <v>53</v>
      </c>
    </row>
    <row r="670" spans="1:13">
      <c r="A670" s="47">
        <v>45867</v>
      </c>
      <c r="B670" s="46" t="s">
        <v>1128</v>
      </c>
      <c r="C670" s="46" t="s">
        <v>1129</v>
      </c>
      <c r="D670" s="46" t="s">
        <v>1130</v>
      </c>
      <c r="E670" s="46" t="s">
        <v>1131</v>
      </c>
      <c r="F670" s="46">
        <v>103373</v>
      </c>
      <c r="G670" s="46">
        <v>6280</v>
      </c>
      <c r="H670" s="46">
        <v>1324</v>
      </c>
      <c r="I670" s="46">
        <v>665</v>
      </c>
      <c r="J670" s="46">
        <v>319</v>
      </c>
      <c r="K670" s="46" t="s">
        <v>1372</v>
      </c>
      <c r="L670" s="46" t="s">
        <v>1373</v>
      </c>
      <c r="M670" s="46" t="s">
        <v>46</v>
      </c>
    </row>
    <row r="671" spans="1:13">
      <c r="A671" s="47">
        <v>45868</v>
      </c>
      <c r="B671" s="46" t="s">
        <v>1128</v>
      </c>
      <c r="C671" s="46" t="s">
        <v>1129</v>
      </c>
      <c r="D671" s="46" t="s">
        <v>1130</v>
      </c>
      <c r="E671" s="46" t="s">
        <v>1131</v>
      </c>
      <c r="F671" s="46">
        <v>183663</v>
      </c>
      <c r="G671" s="46">
        <v>7335</v>
      </c>
      <c r="H671" s="46">
        <v>1401</v>
      </c>
      <c r="I671" s="46">
        <v>843</v>
      </c>
      <c r="J671" s="46">
        <v>357</v>
      </c>
      <c r="K671" s="46" t="s">
        <v>1374</v>
      </c>
      <c r="L671" s="46" t="s">
        <v>1375</v>
      </c>
      <c r="M671" s="46" t="s">
        <v>46</v>
      </c>
    </row>
    <row r="672" spans="1:13">
      <c r="A672" s="47">
        <v>45869</v>
      </c>
      <c r="B672" s="46" t="s">
        <v>1128</v>
      </c>
      <c r="C672" s="46" t="s">
        <v>1129</v>
      </c>
      <c r="D672" s="46" t="s">
        <v>1130</v>
      </c>
      <c r="E672" s="46" t="s">
        <v>1131</v>
      </c>
      <c r="F672" s="46">
        <v>125289</v>
      </c>
      <c r="G672" s="46">
        <v>5916</v>
      </c>
      <c r="H672" s="46">
        <v>1354</v>
      </c>
      <c r="I672" s="46">
        <v>610</v>
      </c>
      <c r="J672" s="46">
        <v>295</v>
      </c>
      <c r="K672" s="46" t="s">
        <v>1376</v>
      </c>
      <c r="L672" s="46" t="s">
        <v>1377</v>
      </c>
      <c r="M672" s="46" t="s">
        <v>22</v>
      </c>
    </row>
    <row r="673" spans="1:13">
      <c r="A673" s="47">
        <v>45870</v>
      </c>
      <c r="B673" s="46" t="s">
        <v>1128</v>
      </c>
      <c r="C673" s="46" t="s">
        <v>1129</v>
      </c>
      <c r="D673" s="46" t="s">
        <v>1130</v>
      </c>
      <c r="E673" s="46" t="s">
        <v>1131</v>
      </c>
      <c r="F673" s="46">
        <v>82289</v>
      </c>
      <c r="G673" s="46">
        <v>2865</v>
      </c>
      <c r="H673" s="46">
        <v>627</v>
      </c>
      <c r="I673" s="46">
        <v>344</v>
      </c>
      <c r="J673" s="46">
        <v>153</v>
      </c>
      <c r="K673" s="46" t="s">
        <v>1378</v>
      </c>
      <c r="L673" s="46" t="s">
        <v>1379</v>
      </c>
      <c r="M673" s="46" t="s">
        <v>46</v>
      </c>
    </row>
    <row r="674" spans="1:13">
      <c r="A674" s="47">
        <v>45871</v>
      </c>
      <c r="B674" s="46" t="s">
        <v>1128</v>
      </c>
      <c r="C674" s="46" t="s">
        <v>1129</v>
      </c>
      <c r="D674" s="46" t="s">
        <v>1130</v>
      </c>
      <c r="E674" s="46" t="s">
        <v>1131</v>
      </c>
      <c r="F674" s="46">
        <v>122204</v>
      </c>
      <c r="G674" s="46">
        <v>4702</v>
      </c>
      <c r="H674" s="46">
        <v>1151</v>
      </c>
      <c r="I674" s="46">
        <v>571</v>
      </c>
      <c r="J674" s="46">
        <v>334</v>
      </c>
      <c r="K674" s="46" t="s">
        <v>1380</v>
      </c>
      <c r="L674" s="46" t="s">
        <v>1381</v>
      </c>
      <c r="M674" s="46" t="s">
        <v>53</v>
      </c>
    </row>
    <row r="675" spans="1:13">
      <c r="A675" s="47">
        <v>45872</v>
      </c>
      <c r="B675" s="46" t="s">
        <v>1128</v>
      </c>
      <c r="C675" s="46" t="s">
        <v>1129</v>
      </c>
      <c r="D675" s="46" t="s">
        <v>1130</v>
      </c>
      <c r="E675" s="46" t="s">
        <v>1131</v>
      </c>
      <c r="F675" s="46">
        <v>282568</v>
      </c>
      <c r="G675" s="46">
        <v>20991</v>
      </c>
      <c r="H675" s="46">
        <v>3160</v>
      </c>
      <c r="I675" s="46">
        <v>1720</v>
      </c>
      <c r="J675" s="46">
        <v>1027</v>
      </c>
      <c r="K675" s="46" t="s">
        <v>1382</v>
      </c>
      <c r="L675" s="46" t="s">
        <v>1383</v>
      </c>
      <c r="M675" s="46" t="s">
        <v>22</v>
      </c>
    </row>
    <row r="676" spans="1:13">
      <c r="A676" s="47">
        <v>45873</v>
      </c>
      <c r="B676" s="46" t="s">
        <v>1128</v>
      </c>
      <c r="C676" s="46" t="s">
        <v>1129</v>
      </c>
      <c r="D676" s="46" t="s">
        <v>1130</v>
      </c>
      <c r="E676" s="46" t="s">
        <v>1131</v>
      </c>
      <c r="F676" s="46">
        <v>276741</v>
      </c>
      <c r="G676" s="46">
        <v>8329</v>
      </c>
      <c r="H676" s="46">
        <v>2013</v>
      </c>
      <c r="I676" s="46">
        <v>1048</v>
      </c>
      <c r="J676" s="46">
        <v>550</v>
      </c>
      <c r="K676" s="46" t="s">
        <v>1384</v>
      </c>
      <c r="L676" s="46" t="s">
        <v>1385</v>
      </c>
      <c r="M676" s="46" t="s">
        <v>19</v>
      </c>
    </row>
    <row r="677" spans="1:13">
      <c r="A677" s="47">
        <v>45874</v>
      </c>
      <c r="B677" s="46" t="s">
        <v>1128</v>
      </c>
      <c r="C677" s="46" t="s">
        <v>1129</v>
      </c>
      <c r="D677" s="46" t="s">
        <v>1130</v>
      </c>
      <c r="E677" s="46" t="s">
        <v>1131</v>
      </c>
      <c r="F677" s="46">
        <v>276190</v>
      </c>
      <c r="G677" s="46">
        <v>8837</v>
      </c>
      <c r="H677" s="46">
        <v>1345</v>
      </c>
      <c r="I677" s="46">
        <v>850</v>
      </c>
      <c r="J677" s="46">
        <v>400</v>
      </c>
      <c r="K677" s="46" t="s">
        <v>1386</v>
      </c>
      <c r="L677" s="46" t="s">
        <v>1387</v>
      </c>
      <c r="M677" s="46" t="s">
        <v>19</v>
      </c>
    </row>
    <row r="678" spans="1:13">
      <c r="A678" s="47">
        <v>45875</v>
      </c>
      <c r="B678" s="46" t="s">
        <v>1128</v>
      </c>
      <c r="C678" s="46" t="s">
        <v>1129</v>
      </c>
      <c r="D678" s="46" t="s">
        <v>1130</v>
      </c>
      <c r="E678" s="46" t="s">
        <v>1131</v>
      </c>
      <c r="F678" s="46">
        <v>157823</v>
      </c>
      <c r="G678" s="46">
        <v>7462</v>
      </c>
      <c r="H678" s="46">
        <v>1653</v>
      </c>
      <c r="I678" s="46">
        <v>1051</v>
      </c>
      <c r="J678" s="46">
        <v>551</v>
      </c>
      <c r="K678" s="46" t="s">
        <v>1388</v>
      </c>
      <c r="L678" s="46" t="s">
        <v>1389</v>
      </c>
      <c r="M678" s="46" t="s">
        <v>19</v>
      </c>
    </row>
    <row r="679" spans="1:13">
      <c r="A679" s="47">
        <v>45876</v>
      </c>
      <c r="B679" s="46" t="s">
        <v>1128</v>
      </c>
      <c r="C679" s="46" t="s">
        <v>1129</v>
      </c>
      <c r="D679" s="46" t="s">
        <v>1130</v>
      </c>
      <c r="E679" s="46" t="s">
        <v>1131</v>
      </c>
      <c r="F679" s="46">
        <v>168164</v>
      </c>
      <c r="G679" s="46">
        <v>12919</v>
      </c>
      <c r="H679" s="46">
        <v>3045</v>
      </c>
      <c r="I679" s="46">
        <v>1753</v>
      </c>
      <c r="J679" s="46">
        <v>778</v>
      </c>
      <c r="K679" s="46" t="s">
        <v>1390</v>
      </c>
      <c r="L679" s="46" t="s">
        <v>1391</v>
      </c>
      <c r="M679" s="46" t="s">
        <v>19</v>
      </c>
    </row>
    <row r="680" spans="1:13">
      <c r="A680" s="47">
        <v>45877</v>
      </c>
      <c r="B680" s="46" t="s">
        <v>1128</v>
      </c>
      <c r="C680" s="46" t="s">
        <v>1129</v>
      </c>
      <c r="D680" s="46" t="s">
        <v>1130</v>
      </c>
      <c r="E680" s="46" t="s">
        <v>1131</v>
      </c>
      <c r="F680" s="46">
        <v>196818</v>
      </c>
      <c r="G680" s="46">
        <v>10477</v>
      </c>
      <c r="H680" s="46">
        <v>1940</v>
      </c>
      <c r="I680" s="46">
        <v>1106</v>
      </c>
      <c r="J680" s="46">
        <v>531</v>
      </c>
      <c r="K680" s="46" t="s">
        <v>1392</v>
      </c>
      <c r="L680" s="46" t="s">
        <v>1393</v>
      </c>
      <c r="M680" s="46" t="s">
        <v>53</v>
      </c>
    </row>
    <row r="681" spans="1:13">
      <c r="A681" s="47">
        <v>45878</v>
      </c>
      <c r="B681" s="46" t="s">
        <v>1128</v>
      </c>
      <c r="C681" s="46" t="s">
        <v>1129</v>
      </c>
      <c r="D681" s="46" t="s">
        <v>1130</v>
      </c>
      <c r="E681" s="46" t="s">
        <v>1131</v>
      </c>
      <c r="F681" s="46">
        <v>87549</v>
      </c>
      <c r="G681" s="46">
        <v>4272</v>
      </c>
      <c r="H681" s="46">
        <v>877</v>
      </c>
      <c r="I681" s="46">
        <v>466</v>
      </c>
      <c r="J681" s="46">
        <v>259</v>
      </c>
      <c r="K681" s="46" t="s">
        <v>1394</v>
      </c>
      <c r="L681" s="46" t="s">
        <v>1395</v>
      </c>
      <c r="M681" s="46" t="s">
        <v>22</v>
      </c>
    </row>
    <row r="682" spans="1:13">
      <c r="A682" s="47">
        <v>45879</v>
      </c>
      <c r="B682" s="46" t="s">
        <v>1128</v>
      </c>
      <c r="C682" s="46" t="s">
        <v>1129</v>
      </c>
      <c r="D682" s="46" t="s">
        <v>1130</v>
      </c>
      <c r="E682" s="46" t="s">
        <v>1131</v>
      </c>
      <c r="F682" s="46">
        <v>209975</v>
      </c>
      <c r="G682" s="46">
        <v>7033</v>
      </c>
      <c r="H682" s="46">
        <v>1633</v>
      </c>
      <c r="I682" s="46">
        <v>987</v>
      </c>
      <c r="J682" s="46">
        <v>489</v>
      </c>
      <c r="K682" s="46" t="s">
        <v>1396</v>
      </c>
      <c r="L682" s="46" t="s">
        <v>1397</v>
      </c>
      <c r="M682" s="46" t="s">
        <v>19</v>
      </c>
    </row>
    <row r="683" spans="1:13">
      <c r="A683" s="47">
        <v>45880</v>
      </c>
      <c r="B683" s="46" t="s">
        <v>1128</v>
      </c>
      <c r="C683" s="46" t="s">
        <v>1129</v>
      </c>
      <c r="D683" s="46" t="s">
        <v>1130</v>
      </c>
      <c r="E683" s="46" t="s">
        <v>1131</v>
      </c>
      <c r="F683" s="46">
        <v>248579</v>
      </c>
      <c r="G683" s="46">
        <v>16137</v>
      </c>
      <c r="H683" s="46">
        <v>3772</v>
      </c>
      <c r="I683" s="46">
        <v>2122</v>
      </c>
      <c r="J683" s="46">
        <v>1032</v>
      </c>
      <c r="K683" s="46" t="s">
        <v>1398</v>
      </c>
      <c r="L683" s="46" t="s">
        <v>1399</v>
      </c>
      <c r="M683" s="46" t="s">
        <v>22</v>
      </c>
    </row>
    <row r="684" spans="1:13">
      <c r="A684" s="47">
        <v>45881</v>
      </c>
      <c r="B684" s="46" t="s">
        <v>1128</v>
      </c>
      <c r="C684" s="46" t="s">
        <v>1129</v>
      </c>
      <c r="D684" s="46" t="s">
        <v>1130</v>
      </c>
      <c r="E684" s="46" t="s">
        <v>1131</v>
      </c>
      <c r="F684" s="46">
        <v>105929</v>
      </c>
      <c r="G684" s="46">
        <v>6513</v>
      </c>
      <c r="H684" s="46">
        <v>1176</v>
      </c>
      <c r="I684" s="46">
        <v>544</v>
      </c>
      <c r="J684" s="46">
        <v>290</v>
      </c>
      <c r="K684" s="46" t="s">
        <v>1400</v>
      </c>
      <c r="L684" s="46" t="s">
        <v>1401</v>
      </c>
      <c r="M684" s="46" t="s">
        <v>22</v>
      </c>
    </row>
    <row r="685" spans="1:13">
      <c r="A685" s="47">
        <v>45882</v>
      </c>
      <c r="B685" s="46" t="s">
        <v>1128</v>
      </c>
      <c r="C685" s="46" t="s">
        <v>1129</v>
      </c>
      <c r="D685" s="46" t="s">
        <v>1130</v>
      </c>
      <c r="E685" s="46" t="s">
        <v>1131</v>
      </c>
      <c r="F685" s="46">
        <v>285906</v>
      </c>
      <c r="G685" s="46">
        <v>22490</v>
      </c>
      <c r="H685" s="46">
        <v>5143</v>
      </c>
      <c r="I685" s="46">
        <v>2920</v>
      </c>
      <c r="J685" s="46">
        <v>1595</v>
      </c>
      <c r="K685" s="46" t="s">
        <v>1402</v>
      </c>
      <c r="L685" s="46" t="s">
        <v>1403</v>
      </c>
      <c r="M685" s="46" t="s">
        <v>22</v>
      </c>
    </row>
    <row r="686" spans="1:13">
      <c r="A686" s="47">
        <v>45883</v>
      </c>
      <c r="B686" s="46" t="s">
        <v>1128</v>
      </c>
      <c r="C686" s="46" t="s">
        <v>1129</v>
      </c>
      <c r="D686" s="46" t="s">
        <v>1130</v>
      </c>
      <c r="E686" s="46" t="s">
        <v>1131</v>
      </c>
      <c r="F686" s="46">
        <v>114829</v>
      </c>
      <c r="G686" s="46">
        <v>6699</v>
      </c>
      <c r="H686" s="46">
        <v>1279</v>
      </c>
      <c r="I686" s="46">
        <v>675</v>
      </c>
      <c r="J686" s="46">
        <v>334</v>
      </c>
      <c r="K686" s="46" t="s">
        <v>1404</v>
      </c>
      <c r="L686" s="46" t="s">
        <v>1405</v>
      </c>
      <c r="M686" s="46" t="s">
        <v>19</v>
      </c>
    </row>
    <row r="687" spans="1:13">
      <c r="A687" s="47">
        <v>45884</v>
      </c>
      <c r="B687" s="46" t="s">
        <v>1128</v>
      </c>
      <c r="C687" s="46" t="s">
        <v>1129</v>
      </c>
      <c r="D687" s="46" t="s">
        <v>1130</v>
      </c>
      <c r="E687" s="46" t="s">
        <v>1131</v>
      </c>
      <c r="F687" s="46">
        <v>139439</v>
      </c>
      <c r="G687" s="46">
        <v>8820</v>
      </c>
      <c r="H687" s="46">
        <v>2115</v>
      </c>
      <c r="I687" s="46">
        <v>1244</v>
      </c>
      <c r="J687" s="46">
        <v>610</v>
      </c>
      <c r="K687" s="46" t="s">
        <v>1406</v>
      </c>
      <c r="L687" s="46" t="s">
        <v>1407</v>
      </c>
      <c r="M687" s="46" t="s">
        <v>35</v>
      </c>
    </row>
    <row r="688" spans="1:13">
      <c r="A688" s="47">
        <v>45885</v>
      </c>
      <c r="B688" s="46" t="s">
        <v>1128</v>
      </c>
      <c r="C688" s="46" t="s">
        <v>1129</v>
      </c>
      <c r="D688" s="46" t="s">
        <v>1130</v>
      </c>
      <c r="E688" s="46" t="s">
        <v>1131</v>
      </c>
      <c r="F688" s="46">
        <v>156143</v>
      </c>
      <c r="G688" s="46">
        <v>12051</v>
      </c>
      <c r="H688" s="46">
        <v>2488</v>
      </c>
      <c r="I688" s="46">
        <v>1574</v>
      </c>
      <c r="J688" s="46">
        <v>776</v>
      </c>
      <c r="K688" s="46" t="s">
        <v>1408</v>
      </c>
      <c r="L688" s="46" t="s">
        <v>1409</v>
      </c>
      <c r="M688" s="46" t="s">
        <v>22</v>
      </c>
    </row>
    <row r="689" spans="1:13">
      <c r="A689" s="47">
        <v>45886</v>
      </c>
      <c r="B689" s="46" t="s">
        <v>1128</v>
      </c>
      <c r="C689" s="46" t="s">
        <v>1129</v>
      </c>
      <c r="D689" s="46" t="s">
        <v>1130</v>
      </c>
      <c r="E689" s="46" t="s">
        <v>1131</v>
      </c>
      <c r="F689" s="46">
        <v>240812</v>
      </c>
      <c r="G689" s="46">
        <v>8480</v>
      </c>
      <c r="H689" s="46">
        <v>1398</v>
      </c>
      <c r="I689" s="46">
        <v>794</v>
      </c>
      <c r="J689" s="46">
        <v>351</v>
      </c>
      <c r="K689" s="46" t="s">
        <v>1410</v>
      </c>
      <c r="L689" s="46" t="s">
        <v>1411</v>
      </c>
      <c r="M689" s="46" t="s">
        <v>35</v>
      </c>
    </row>
    <row r="690" spans="1:13">
      <c r="A690" s="47">
        <v>45887</v>
      </c>
      <c r="B690" s="46" t="s">
        <v>1128</v>
      </c>
      <c r="C690" s="46" t="s">
        <v>1129</v>
      </c>
      <c r="D690" s="46" t="s">
        <v>1130</v>
      </c>
      <c r="E690" s="46" t="s">
        <v>1131</v>
      </c>
      <c r="F690" s="46">
        <v>138243</v>
      </c>
      <c r="G690" s="46">
        <v>8910</v>
      </c>
      <c r="H690" s="46">
        <v>1845</v>
      </c>
      <c r="I690" s="46">
        <v>909</v>
      </c>
      <c r="J690" s="46">
        <v>537</v>
      </c>
      <c r="K690" s="46" t="s">
        <v>1412</v>
      </c>
      <c r="L690" s="46" t="s">
        <v>1413</v>
      </c>
      <c r="M690" s="46" t="s">
        <v>53</v>
      </c>
    </row>
    <row r="691" spans="1:13">
      <c r="A691" s="47">
        <v>45888</v>
      </c>
      <c r="B691" s="46" t="s">
        <v>1128</v>
      </c>
      <c r="C691" s="46" t="s">
        <v>1129</v>
      </c>
      <c r="D691" s="46" t="s">
        <v>1130</v>
      </c>
      <c r="E691" s="46" t="s">
        <v>1131</v>
      </c>
      <c r="F691" s="46">
        <v>218087</v>
      </c>
      <c r="G691" s="46">
        <v>9347</v>
      </c>
      <c r="H691" s="46">
        <v>2279</v>
      </c>
      <c r="I691" s="46">
        <v>1102</v>
      </c>
      <c r="J691" s="46">
        <v>475</v>
      </c>
      <c r="K691" s="46" t="s">
        <v>1414</v>
      </c>
      <c r="L691" s="46" t="s">
        <v>1415</v>
      </c>
      <c r="M691" s="46" t="s">
        <v>35</v>
      </c>
    </row>
    <row r="692" spans="1:13">
      <c r="A692" s="47">
        <v>45889</v>
      </c>
      <c r="B692" s="46" t="s">
        <v>1128</v>
      </c>
      <c r="C692" s="46" t="s">
        <v>1129</v>
      </c>
      <c r="D692" s="46" t="s">
        <v>1130</v>
      </c>
      <c r="E692" s="46" t="s">
        <v>1131</v>
      </c>
      <c r="F692" s="46">
        <v>120567</v>
      </c>
      <c r="G692" s="46">
        <v>7874</v>
      </c>
      <c r="H692" s="46">
        <v>1738</v>
      </c>
      <c r="I692" s="46">
        <v>882</v>
      </c>
      <c r="J692" s="46">
        <v>513</v>
      </c>
      <c r="K692" s="46" t="s">
        <v>1416</v>
      </c>
      <c r="L692" s="46" t="s">
        <v>1417</v>
      </c>
      <c r="M692" s="46" t="s">
        <v>35</v>
      </c>
    </row>
    <row r="693" spans="1:13">
      <c r="A693" s="47">
        <v>45890</v>
      </c>
      <c r="B693" s="46" t="s">
        <v>1128</v>
      </c>
      <c r="C693" s="46" t="s">
        <v>1129</v>
      </c>
      <c r="D693" s="46" t="s">
        <v>1130</v>
      </c>
      <c r="E693" s="46" t="s">
        <v>1131</v>
      </c>
      <c r="F693" s="46">
        <v>60672</v>
      </c>
      <c r="G693" s="46">
        <v>4419</v>
      </c>
      <c r="H693" s="46">
        <v>871</v>
      </c>
      <c r="I693" s="46">
        <v>435</v>
      </c>
      <c r="J693" s="46">
        <v>245</v>
      </c>
      <c r="K693" s="46" t="s">
        <v>1418</v>
      </c>
      <c r="L693" s="46" t="s">
        <v>1419</v>
      </c>
      <c r="M693" s="46" t="s">
        <v>22</v>
      </c>
    </row>
    <row r="694" spans="1:13">
      <c r="A694" s="47">
        <v>45891</v>
      </c>
      <c r="B694" s="46" t="s">
        <v>1128</v>
      </c>
      <c r="C694" s="46" t="s">
        <v>1129</v>
      </c>
      <c r="D694" s="46" t="s">
        <v>1130</v>
      </c>
      <c r="E694" s="46" t="s">
        <v>1131</v>
      </c>
      <c r="F694" s="46">
        <v>100402</v>
      </c>
      <c r="G694" s="46">
        <v>5050</v>
      </c>
      <c r="H694" s="46">
        <v>816</v>
      </c>
      <c r="I694" s="46">
        <v>428</v>
      </c>
      <c r="J694" s="46">
        <v>214</v>
      </c>
      <c r="K694" s="46" t="s">
        <v>1420</v>
      </c>
      <c r="L694" s="46" t="s">
        <v>1421</v>
      </c>
      <c r="M694" s="46" t="s">
        <v>53</v>
      </c>
    </row>
    <row r="695" spans="1:13">
      <c r="A695" s="47">
        <v>45892</v>
      </c>
      <c r="B695" s="46" t="s">
        <v>1128</v>
      </c>
      <c r="C695" s="46" t="s">
        <v>1129</v>
      </c>
      <c r="D695" s="46" t="s">
        <v>1130</v>
      </c>
      <c r="E695" s="46" t="s">
        <v>1131</v>
      </c>
      <c r="F695" s="46">
        <v>182510</v>
      </c>
      <c r="G695" s="46">
        <v>10026</v>
      </c>
      <c r="H695" s="46">
        <v>2101</v>
      </c>
      <c r="I695" s="46">
        <v>1067</v>
      </c>
      <c r="J695" s="46">
        <v>537</v>
      </c>
      <c r="K695" s="46" t="s">
        <v>1422</v>
      </c>
      <c r="L695" s="46" t="s">
        <v>1423</v>
      </c>
      <c r="M695" s="46" t="s">
        <v>35</v>
      </c>
    </row>
    <row r="696" spans="1:13">
      <c r="A696" s="47">
        <v>45893</v>
      </c>
      <c r="B696" s="46" t="s">
        <v>1128</v>
      </c>
      <c r="C696" s="46" t="s">
        <v>1129</v>
      </c>
      <c r="D696" s="46" t="s">
        <v>1130</v>
      </c>
      <c r="E696" s="46" t="s">
        <v>1131</v>
      </c>
      <c r="F696" s="46">
        <v>91784</v>
      </c>
      <c r="G696" s="46">
        <v>5762</v>
      </c>
      <c r="H696" s="46">
        <v>1342</v>
      </c>
      <c r="I696" s="46">
        <v>834</v>
      </c>
      <c r="J696" s="46">
        <v>453</v>
      </c>
      <c r="K696" s="46" t="s">
        <v>1424</v>
      </c>
      <c r="L696" s="46" t="s">
        <v>1425</v>
      </c>
      <c r="M696" s="46" t="s">
        <v>35</v>
      </c>
    </row>
    <row r="697" spans="1:13">
      <c r="A697" s="47">
        <v>45894</v>
      </c>
      <c r="B697" s="46" t="s">
        <v>1128</v>
      </c>
      <c r="C697" s="46" t="s">
        <v>1129</v>
      </c>
      <c r="D697" s="46" t="s">
        <v>1130</v>
      </c>
      <c r="E697" s="46" t="s">
        <v>1131</v>
      </c>
      <c r="F697" s="46">
        <v>277958</v>
      </c>
      <c r="G697" s="46">
        <v>10817</v>
      </c>
      <c r="H697" s="46">
        <v>2519</v>
      </c>
      <c r="I697" s="46">
        <v>1222</v>
      </c>
      <c r="J697" s="46">
        <v>546</v>
      </c>
      <c r="K697" s="46" t="s">
        <v>1426</v>
      </c>
      <c r="L697" s="46" t="s">
        <v>1427</v>
      </c>
      <c r="M697" s="46" t="s">
        <v>19</v>
      </c>
    </row>
    <row r="698" spans="1:13">
      <c r="A698" s="47">
        <v>45895</v>
      </c>
      <c r="B698" s="46" t="s">
        <v>1128</v>
      </c>
      <c r="C698" s="46" t="s">
        <v>1129</v>
      </c>
      <c r="D698" s="46" t="s">
        <v>1130</v>
      </c>
      <c r="E698" s="46" t="s">
        <v>1131</v>
      </c>
      <c r="F698" s="46">
        <v>192183</v>
      </c>
      <c r="G698" s="46">
        <v>10955</v>
      </c>
      <c r="H698" s="46">
        <v>1911</v>
      </c>
      <c r="I698" s="46">
        <v>982</v>
      </c>
      <c r="J698" s="46">
        <v>531</v>
      </c>
      <c r="K698" s="46" t="s">
        <v>1428</v>
      </c>
      <c r="L698" s="46" t="s">
        <v>1429</v>
      </c>
      <c r="M698" s="46" t="s">
        <v>53</v>
      </c>
    </row>
    <row r="699" spans="1:13">
      <c r="A699" s="47">
        <v>45896</v>
      </c>
      <c r="B699" s="46" t="s">
        <v>1128</v>
      </c>
      <c r="C699" s="46" t="s">
        <v>1129</v>
      </c>
      <c r="D699" s="46" t="s">
        <v>1130</v>
      </c>
      <c r="E699" s="46" t="s">
        <v>1131</v>
      </c>
      <c r="F699" s="46">
        <v>263391</v>
      </c>
      <c r="G699" s="46">
        <v>15760</v>
      </c>
      <c r="H699" s="46">
        <v>2389</v>
      </c>
      <c r="I699" s="46">
        <v>1303</v>
      </c>
      <c r="J699" s="46">
        <v>686</v>
      </c>
      <c r="K699" s="46" t="s">
        <v>1430</v>
      </c>
      <c r="L699" s="46" t="s">
        <v>1431</v>
      </c>
      <c r="M699" s="46" t="s">
        <v>19</v>
      </c>
    </row>
    <row r="700" spans="1:13">
      <c r="A700" s="47">
        <v>45897</v>
      </c>
      <c r="B700" s="46" t="s">
        <v>1128</v>
      </c>
      <c r="C700" s="46" t="s">
        <v>1129</v>
      </c>
      <c r="D700" s="46" t="s">
        <v>1130</v>
      </c>
      <c r="E700" s="46" t="s">
        <v>1131</v>
      </c>
      <c r="F700" s="46">
        <v>272021</v>
      </c>
      <c r="G700" s="46">
        <v>16255</v>
      </c>
      <c r="H700" s="46">
        <v>3053</v>
      </c>
      <c r="I700" s="46">
        <v>1496</v>
      </c>
      <c r="J700" s="46">
        <v>719</v>
      </c>
      <c r="K700" s="46" t="s">
        <v>1432</v>
      </c>
      <c r="L700" s="46" t="s">
        <v>1433</v>
      </c>
      <c r="M700" s="46" t="s">
        <v>46</v>
      </c>
    </row>
    <row r="701" spans="1:13">
      <c r="A701" s="47">
        <v>45898</v>
      </c>
      <c r="B701" s="46" t="s">
        <v>1128</v>
      </c>
      <c r="C701" s="46" t="s">
        <v>1129</v>
      </c>
      <c r="D701" s="46" t="s">
        <v>1130</v>
      </c>
      <c r="E701" s="46" t="s">
        <v>1131</v>
      </c>
      <c r="F701" s="46">
        <v>156442</v>
      </c>
      <c r="G701" s="46">
        <v>5047</v>
      </c>
      <c r="H701" s="46">
        <v>1081</v>
      </c>
      <c r="I701" s="46">
        <v>616</v>
      </c>
      <c r="J701" s="46">
        <v>364</v>
      </c>
      <c r="K701" s="46" t="s">
        <v>1434</v>
      </c>
      <c r="L701" s="46" t="s">
        <v>1435</v>
      </c>
      <c r="M701" s="46" t="s">
        <v>22</v>
      </c>
    </row>
    <row r="702" spans="1:13">
      <c r="A702" s="47">
        <v>45899</v>
      </c>
      <c r="B702" s="46" t="s">
        <v>1128</v>
      </c>
      <c r="C702" s="46" t="s">
        <v>1129</v>
      </c>
      <c r="D702" s="46" t="s">
        <v>1130</v>
      </c>
      <c r="E702" s="46" t="s">
        <v>1131</v>
      </c>
      <c r="F702" s="46">
        <v>247071</v>
      </c>
      <c r="G702" s="46">
        <v>14991</v>
      </c>
      <c r="H702" s="46">
        <v>3641</v>
      </c>
      <c r="I702" s="46">
        <v>1717</v>
      </c>
      <c r="J702" s="46">
        <v>746</v>
      </c>
      <c r="K702" s="46" t="s">
        <v>1436</v>
      </c>
      <c r="L702" s="46" t="s">
        <v>1437</v>
      </c>
      <c r="M702" s="46" t="s">
        <v>22</v>
      </c>
    </row>
    <row r="703" spans="1:13">
      <c r="A703" s="47">
        <v>45900</v>
      </c>
      <c r="B703" s="46" t="s">
        <v>1128</v>
      </c>
      <c r="C703" s="46" t="s">
        <v>1129</v>
      </c>
      <c r="D703" s="46" t="s">
        <v>1130</v>
      </c>
      <c r="E703" s="46" t="s">
        <v>1131</v>
      </c>
      <c r="F703" s="46">
        <v>250143</v>
      </c>
      <c r="G703" s="46">
        <v>13827</v>
      </c>
      <c r="H703" s="46">
        <v>2421</v>
      </c>
      <c r="I703" s="46">
        <v>1432</v>
      </c>
      <c r="J703" s="46">
        <v>812</v>
      </c>
      <c r="K703" s="46" t="s">
        <v>1438</v>
      </c>
      <c r="L703" s="46" t="s">
        <v>1439</v>
      </c>
      <c r="M703" s="46" t="s">
        <v>35</v>
      </c>
    </row>
    <row r="704" spans="1:13">
      <c r="A704" s="47">
        <v>45901</v>
      </c>
      <c r="B704" s="46" t="s">
        <v>1128</v>
      </c>
      <c r="C704" s="46" t="s">
        <v>1129</v>
      </c>
      <c r="D704" s="46" t="s">
        <v>1130</v>
      </c>
      <c r="E704" s="46" t="s">
        <v>1131</v>
      </c>
      <c r="F704" s="46">
        <v>107058</v>
      </c>
      <c r="G704" s="46">
        <v>3243</v>
      </c>
      <c r="H704" s="46">
        <v>768</v>
      </c>
      <c r="I704" s="46">
        <v>451</v>
      </c>
      <c r="J704" s="46">
        <v>183</v>
      </c>
      <c r="K704" s="46" t="s">
        <v>1440</v>
      </c>
      <c r="L704" s="46" t="s">
        <v>1441</v>
      </c>
      <c r="M704" s="46" t="s">
        <v>53</v>
      </c>
    </row>
    <row r="705" spans="1:13">
      <c r="A705" s="47">
        <v>45902</v>
      </c>
      <c r="B705" s="46" t="s">
        <v>1128</v>
      </c>
      <c r="C705" s="46" t="s">
        <v>1129</v>
      </c>
      <c r="D705" s="46" t="s">
        <v>1130</v>
      </c>
      <c r="E705" s="46" t="s">
        <v>1131</v>
      </c>
      <c r="F705" s="46">
        <v>70747</v>
      </c>
      <c r="G705" s="46">
        <v>4626</v>
      </c>
      <c r="H705" s="46">
        <v>1107</v>
      </c>
      <c r="I705" s="46">
        <v>534</v>
      </c>
      <c r="J705" s="46">
        <v>275</v>
      </c>
      <c r="K705" s="46" t="s">
        <v>1442</v>
      </c>
      <c r="L705" s="46" t="s">
        <v>1443</v>
      </c>
      <c r="M705" s="46" t="s">
        <v>53</v>
      </c>
    </row>
    <row r="706" spans="1:13">
      <c r="A706" s="47">
        <v>45903</v>
      </c>
      <c r="B706" s="46" t="s">
        <v>1128</v>
      </c>
      <c r="C706" s="46" t="s">
        <v>1129</v>
      </c>
      <c r="D706" s="46" t="s">
        <v>1130</v>
      </c>
      <c r="E706" s="46" t="s">
        <v>1131</v>
      </c>
      <c r="F706" s="46">
        <v>239227</v>
      </c>
      <c r="G706" s="46">
        <v>14680</v>
      </c>
      <c r="H706" s="46">
        <v>3320</v>
      </c>
      <c r="I706" s="46">
        <v>1838</v>
      </c>
      <c r="J706" s="46">
        <v>874</v>
      </c>
      <c r="K706" s="46" t="s">
        <v>1444</v>
      </c>
      <c r="L706" s="46" t="s">
        <v>1445</v>
      </c>
      <c r="M706" s="46" t="s">
        <v>46</v>
      </c>
    </row>
    <row r="707" spans="1:13">
      <c r="A707" s="47">
        <v>45904</v>
      </c>
      <c r="B707" s="46" t="s">
        <v>1128</v>
      </c>
      <c r="C707" s="46" t="s">
        <v>1129</v>
      </c>
      <c r="D707" s="46" t="s">
        <v>1130</v>
      </c>
      <c r="E707" s="46" t="s">
        <v>1131</v>
      </c>
      <c r="F707" s="46">
        <v>205200</v>
      </c>
      <c r="G707" s="46">
        <v>14587</v>
      </c>
      <c r="H707" s="46">
        <v>2970</v>
      </c>
      <c r="I707" s="46">
        <v>1688</v>
      </c>
      <c r="J707" s="46">
        <v>853</v>
      </c>
      <c r="K707" s="46" t="s">
        <v>1446</v>
      </c>
      <c r="L707" s="46" t="s">
        <v>1447</v>
      </c>
      <c r="M707" s="46" t="s">
        <v>35</v>
      </c>
    </row>
    <row r="708" spans="1:13">
      <c r="A708" s="47">
        <v>45905</v>
      </c>
      <c r="B708" s="46" t="s">
        <v>1128</v>
      </c>
      <c r="C708" s="46" t="s">
        <v>1129</v>
      </c>
      <c r="D708" s="46" t="s">
        <v>1130</v>
      </c>
      <c r="E708" s="46" t="s">
        <v>1131</v>
      </c>
      <c r="F708" s="46">
        <v>281976</v>
      </c>
      <c r="G708" s="46">
        <v>15138</v>
      </c>
      <c r="H708" s="46">
        <v>3583</v>
      </c>
      <c r="I708" s="46">
        <v>1682</v>
      </c>
      <c r="J708" s="46">
        <v>882</v>
      </c>
      <c r="K708" s="46" t="s">
        <v>1448</v>
      </c>
      <c r="L708" s="46" t="s">
        <v>1449</v>
      </c>
      <c r="M708" s="46" t="s">
        <v>53</v>
      </c>
    </row>
    <row r="709" spans="1:13">
      <c r="A709" s="47">
        <v>45906</v>
      </c>
      <c r="B709" s="46" t="s">
        <v>1128</v>
      </c>
      <c r="C709" s="46" t="s">
        <v>1129</v>
      </c>
      <c r="D709" s="46" t="s">
        <v>1130</v>
      </c>
      <c r="E709" s="46" t="s">
        <v>1131</v>
      </c>
      <c r="F709" s="46">
        <v>137599</v>
      </c>
      <c r="G709" s="46">
        <v>10631</v>
      </c>
      <c r="H709" s="46">
        <v>2329</v>
      </c>
      <c r="I709" s="46">
        <v>1429</v>
      </c>
      <c r="J709" s="46">
        <v>624</v>
      </c>
      <c r="K709" s="46" t="s">
        <v>1450</v>
      </c>
      <c r="L709" s="46" t="s">
        <v>1451</v>
      </c>
      <c r="M709" s="46" t="s">
        <v>46</v>
      </c>
    </row>
    <row r="710" spans="1:13">
      <c r="A710" s="47">
        <v>45907</v>
      </c>
      <c r="B710" s="46" t="s">
        <v>1128</v>
      </c>
      <c r="C710" s="46" t="s">
        <v>1129</v>
      </c>
      <c r="D710" s="46" t="s">
        <v>1130</v>
      </c>
      <c r="E710" s="46" t="s">
        <v>1131</v>
      </c>
      <c r="F710" s="46">
        <v>197813</v>
      </c>
      <c r="G710" s="46">
        <v>9162</v>
      </c>
      <c r="H710" s="46">
        <v>1467</v>
      </c>
      <c r="I710" s="46">
        <v>664</v>
      </c>
      <c r="J710" s="46">
        <v>331</v>
      </c>
      <c r="K710" s="46" t="s">
        <v>1452</v>
      </c>
      <c r="L710" s="46" t="s">
        <v>1453</v>
      </c>
      <c r="M710" s="46" t="s">
        <v>22</v>
      </c>
    </row>
    <row r="711" spans="1:13">
      <c r="A711" s="47">
        <v>45908</v>
      </c>
      <c r="B711" s="46" t="s">
        <v>1128</v>
      </c>
      <c r="C711" s="46" t="s">
        <v>1129</v>
      </c>
      <c r="D711" s="46" t="s">
        <v>1130</v>
      </c>
      <c r="E711" s="46" t="s">
        <v>1131</v>
      </c>
      <c r="F711" s="46">
        <v>183517</v>
      </c>
      <c r="G711" s="46">
        <v>8806</v>
      </c>
      <c r="H711" s="46">
        <v>1894</v>
      </c>
      <c r="I711" s="46">
        <v>1152</v>
      </c>
      <c r="J711" s="46">
        <v>607</v>
      </c>
      <c r="K711" s="46" t="s">
        <v>1454</v>
      </c>
      <c r="L711" s="46" t="s">
        <v>1455</v>
      </c>
      <c r="M711" s="46" t="s">
        <v>19</v>
      </c>
    </row>
    <row r="712" spans="1:13">
      <c r="A712" s="47">
        <v>45909</v>
      </c>
      <c r="B712" s="46" t="s">
        <v>1128</v>
      </c>
      <c r="C712" s="46" t="s">
        <v>1129</v>
      </c>
      <c r="D712" s="46" t="s">
        <v>1130</v>
      </c>
      <c r="E712" s="46" t="s">
        <v>1131</v>
      </c>
      <c r="F712" s="46">
        <v>92749</v>
      </c>
      <c r="G712" s="46">
        <v>6844</v>
      </c>
      <c r="H712" s="46">
        <v>1354</v>
      </c>
      <c r="I712" s="46">
        <v>704</v>
      </c>
      <c r="J712" s="46">
        <v>396</v>
      </c>
      <c r="K712" s="46" t="s">
        <v>1456</v>
      </c>
      <c r="L712" s="46" t="s">
        <v>1457</v>
      </c>
      <c r="M712" s="46" t="s">
        <v>35</v>
      </c>
    </row>
    <row r="713" spans="1:13">
      <c r="A713" s="47">
        <v>45910</v>
      </c>
      <c r="B713" s="46" t="s">
        <v>1128</v>
      </c>
      <c r="C713" s="46" t="s">
        <v>1129</v>
      </c>
      <c r="D713" s="46" t="s">
        <v>1130</v>
      </c>
      <c r="E713" s="46" t="s">
        <v>1131</v>
      </c>
      <c r="F713" s="46">
        <v>242936</v>
      </c>
      <c r="G713" s="46">
        <v>9558</v>
      </c>
      <c r="H713" s="46">
        <v>1983</v>
      </c>
      <c r="I713" s="46">
        <v>1172</v>
      </c>
      <c r="J713" s="46">
        <v>687</v>
      </c>
      <c r="K713" s="46" t="s">
        <v>1458</v>
      </c>
      <c r="L713" s="46" t="s">
        <v>1459</v>
      </c>
      <c r="M713" s="46" t="s">
        <v>53</v>
      </c>
    </row>
    <row r="714" spans="1:13">
      <c r="A714" s="47">
        <v>45911</v>
      </c>
      <c r="B714" s="46" t="s">
        <v>1128</v>
      </c>
      <c r="C714" s="46" t="s">
        <v>1129</v>
      </c>
      <c r="D714" s="46" t="s">
        <v>1130</v>
      </c>
      <c r="E714" s="46" t="s">
        <v>1131</v>
      </c>
      <c r="F714" s="46">
        <v>99617</v>
      </c>
      <c r="G714" s="46">
        <v>3517</v>
      </c>
      <c r="H714" s="46">
        <v>638</v>
      </c>
      <c r="I714" s="46">
        <v>340</v>
      </c>
      <c r="J714" s="46">
        <v>165</v>
      </c>
      <c r="K714" s="46" t="s">
        <v>1460</v>
      </c>
      <c r="L714" s="46" t="s">
        <v>1461</v>
      </c>
      <c r="M714" s="46" t="s">
        <v>35</v>
      </c>
    </row>
    <row r="715" spans="1:13">
      <c r="A715" s="47">
        <v>45912</v>
      </c>
      <c r="B715" s="46" t="s">
        <v>1128</v>
      </c>
      <c r="C715" s="46" t="s">
        <v>1129</v>
      </c>
      <c r="D715" s="46" t="s">
        <v>1130</v>
      </c>
      <c r="E715" s="46" t="s">
        <v>1131</v>
      </c>
      <c r="F715" s="46">
        <v>76637</v>
      </c>
      <c r="G715" s="46">
        <v>3191</v>
      </c>
      <c r="H715" s="46">
        <v>733</v>
      </c>
      <c r="I715" s="46">
        <v>446</v>
      </c>
      <c r="J715" s="46">
        <v>203</v>
      </c>
      <c r="K715" s="46" t="s">
        <v>1462</v>
      </c>
      <c r="L715" s="46" t="s">
        <v>1463</v>
      </c>
      <c r="M715" s="46" t="s">
        <v>46</v>
      </c>
    </row>
    <row r="716" spans="1:13">
      <c r="A716" s="47">
        <v>45913</v>
      </c>
      <c r="B716" s="46" t="s">
        <v>1128</v>
      </c>
      <c r="C716" s="46" t="s">
        <v>1129</v>
      </c>
      <c r="D716" s="46" t="s">
        <v>1130</v>
      </c>
      <c r="E716" s="46" t="s">
        <v>1131</v>
      </c>
      <c r="F716" s="46">
        <v>166151</v>
      </c>
      <c r="G716" s="46">
        <v>7773</v>
      </c>
      <c r="H716" s="46">
        <v>1561</v>
      </c>
      <c r="I716" s="46">
        <v>853</v>
      </c>
      <c r="J716" s="46">
        <v>511</v>
      </c>
      <c r="K716" s="46" t="s">
        <v>1464</v>
      </c>
      <c r="L716" s="46" t="s">
        <v>1465</v>
      </c>
      <c r="M716" s="46" t="s">
        <v>35</v>
      </c>
    </row>
    <row r="717" spans="1:13">
      <c r="A717" s="47">
        <v>45914</v>
      </c>
      <c r="B717" s="46" t="s">
        <v>1128</v>
      </c>
      <c r="C717" s="46" t="s">
        <v>1129</v>
      </c>
      <c r="D717" s="46" t="s">
        <v>1130</v>
      </c>
      <c r="E717" s="46" t="s">
        <v>1131</v>
      </c>
      <c r="F717" s="46">
        <v>107335</v>
      </c>
      <c r="G717" s="46">
        <v>5840</v>
      </c>
      <c r="H717" s="46">
        <v>883</v>
      </c>
      <c r="I717" s="46">
        <v>548</v>
      </c>
      <c r="J717" s="46">
        <v>311</v>
      </c>
      <c r="K717" s="46" t="s">
        <v>1466</v>
      </c>
      <c r="L717" s="46" t="s">
        <v>1467</v>
      </c>
      <c r="M717" s="46" t="s">
        <v>19</v>
      </c>
    </row>
    <row r="718" spans="1:13">
      <c r="A718" s="47">
        <v>45915</v>
      </c>
      <c r="B718" s="46" t="s">
        <v>1128</v>
      </c>
      <c r="C718" s="46" t="s">
        <v>1129</v>
      </c>
      <c r="D718" s="46" t="s">
        <v>1130</v>
      </c>
      <c r="E718" s="46" t="s">
        <v>1131</v>
      </c>
      <c r="F718" s="46">
        <v>132078</v>
      </c>
      <c r="G718" s="46">
        <v>9148</v>
      </c>
      <c r="H718" s="46">
        <v>2250</v>
      </c>
      <c r="I718" s="46">
        <v>1070</v>
      </c>
      <c r="J718" s="46">
        <v>580</v>
      </c>
      <c r="K718" s="46" t="s">
        <v>1468</v>
      </c>
      <c r="L718" s="46" t="s">
        <v>1469</v>
      </c>
      <c r="M718" s="46" t="s">
        <v>53</v>
      </c>
    </row>
    <row r="719" spans="1:13">
      <c r="A719" s="47">
        <v>45916</v>
      </c>
      <c r="B719" s="46" t="s">
        <v>1128</v>
      </c>
      <c r="C719" s="46" t="s">
        <v>1129</v>
      </c>
      <c r="D719" s="46" t="s">
        <v>1130</v>
      </c>
      <c r="E719" s="46" t="s">
        <v>1131</v>
      </c>
      <c r="F719" s="46">
        <v>101493</v>
      </c>
      <c r="G719" s="46">
        <v>6771</v>
      </c>
      <c r="H719" s="46">
        <v>1085</v>
      </c>
      <c r="I719" s="46">
        <v>554</v>
      </c>
      <c r="J719" s="46">
        <v>279</v>
      </c>
      <c r="K719" s="46" t="s">
        <v>1470</v>
      </c>
      <c r="L719" s="46" t="s">
        <v>1471</v>
      </c>
      <c r="M719" s="46" t="s">
        <v>19</v>
      </c>
    </row>
    <row r="720" spans="1:13">
      <c r="A720" s="47">
        <v>45917</v>
      </c>
      <c r="B720" s="46" t="s">
        <v>1128</v>
      </c>
      <c r="C720" s="46" t="s">
        <v>1129</v>
      </c>
      <c r="D720" s="46" t="s">
        <v>1130</v>
      </c>
      <c r="E720" s="46" t="s">
        <v>1131</v>
      </c>
      <c r="F720" s="46">
        <v>111983</v>
      </c>
      <c r="G720" s="46">
        <v>6950</v>
      </c>
      <c r="H720" s="46">
        <v>1441</v>
      </c>
      <c r="I720" s="46">
        <v>658</v>
      </c>
      <c r="J720" s="46">
        <v>268</v>
      </c>
      <c r="K720" s="46" t="s">
        <v>1472</v>
      </c>
      <c r="L720" s="46" t="s">
        <v>1473</v>
      </c>
      <c r="M720" s="46" t="s">
        <v>22</v>
      </c>
    </row>
    <row r="721" spans="1:13">
      <c r="A721" s="47">
        <v>45918</v>
      </c>
      <c r="B721" s="46" t="s">
        <v>1128</v>
      </c>
      <c r="C721" s="46" t="s">
        <v>1129</v>
      </c>
      <c r="D721" s="46" t="s">
        <v>1130</v>
      </c>
      <c r="E721" s="46" t="s">
        <v>1131</v>
      </c>
      <c r="F721" s="46">
        <v>215192</v>
      </c>
      <c r="G721" s="46">
        <v>7975</v>
      </c>
      <c r="H721" s="46">
        <v>1358</v>
      </c>
      <c r="I721" s="46">
        <v>818</v>
      </c>
      <c r="J721" s="46">
        <v>362</v>
      </c>
      <c r="K721" s="46" t="s">
        <v>1474</v>
      </c>
      <c r="L721" s="46" t="s">
        <v>1475</v>
      </c>
      <c r="M721" s="46" t="s">
        <v>22</v>
      </c>
    </row>
    <row r="722" spans="1:13">
      <c r="A722" s="47">
        <v>45919</v>
      </c>
      <c r="B722" s="46" t="s">
        <v>1128</v>
      </c>
      <c r="C722" s="46" t="s">
        <v>1129</v>
      </c>
      <c r="D722" s="46" t="s">
        <v>1130</v>
      </c>
      <c r="E722" s="46" t="s">
        <v>1131</v>
      </c>
      <c r="F722" s="46">
        <v>261009</v>
      </c>
      <c r="G722" s="46">
        <v>19792</v>
      </c>
      <c r="H722" s="46">
        <v>4855</v>
      </c>
      <c r="I722" s="46">
        <v>2851</v>
      </c>
      <c r="J722" s="46">
        <v>1191</v>
      </c>
      <c r="K722" s="46" t="s">
        <v>1476</v>
      </c>
      <c r="L722" s="46" t="s">
        <v>1477</v>
      </c>
      <c r="M722" s="46" t="s">
        <v>46</v>
      </c>
    </row>
    <row r="723" spans="1:13">
      <c r="A723" s="47">
        <v>45920</v>
      </c>
      <c r="B723" s="46" t="s">
        <v>1128</v>
      </c>
      <c r="C723" s="46" t="s">
        <v>1129</v>
      </c>
      <c r="D723" s="46" t="s">
        <v>1130</v>
      </c>
      <c r="E723" s="46" t="s">
        <v>1131</v>
      </c>
      <c r="F723" s="46">
        <v>197776</v>
      </c>
      <c r="G723" s="46">
        <v>11695</v>
      </c>
      <c r="H723" s="46">
        <v>1855</v>
      </c>
      <c r="I723" s="46">
        <v>1099</v>
      </c>
      <c r="J723" s="46">
        <v>619</v>
      </c>
      <c r="K723" s="46" t="s">
        <v>1478</v>
      </c>
      <c r="L723" s="46" t="s">
        <v>1479</v>
      </c>
      <c r="M723" s="46" t="s">
        <v>46</v>
      </c>
    </row>
    <row r="724" spans="1:13">
      <c r="A724" s="47">
        <v>45921</v>
      </c>
      <c r="B724" s="46" t="s">
        <v>1128</v>
      </c>
      <c r="C724" s="46" t="s">
        <v>1129</v>
      </c>
      <c r="D724" s="46" t="s">
        <v>1130</v>
      </c>
      <c r="E724" s="46" t="s">
        <v>1131</v>
      </c>
      <c r="F724" s="46">
        <v>272006</v>
      </c>
      <c r="G724" s="46">
        <v>16516</v>
      </c>
      <c r="H724" s="46">
        <v>2535</v>
      </c>
      <c r="I724" s="46">
        <v>1364</v>
      </c>
      <c r="J724" s="46">
        <v>637</v>
      </c>
      <c r="K724" s="46" t="s">
        <v>1480</v>
      </c>
      <c r="L724" s="46" t="s">
        <v>1481</v>
      </c>
      <c r="M724" s="46" t="s">
        <v>46</v>
      </c>
    </row>
    <row r="725" spans="1:13">
      <c r="A725" s="47">
        <v>45922</v>
      </c>
      <c r="B725" s="46" t="s">
        <v>1128</v>
      </c>
      <c r="C725" s="46" t="s">
        <v>1129</v>
      </c>
      <c r="D725" s="46" t="s">
        <v>1130</v>
      </c>
      <c r="E725" s="46" t="s">
        <v>1131</v>
      </c>
      <c r="F725" s="46">
        <v>130283</v>
      </c>
      <c r="G725" s="46">
        <v>4990</v>
      </c>
      <c r="H725" s="46">
        <v>834</v>
      </c>
      <c r="I725" s="46">
        <v>405</v>
      </c>
      <c r="J725" s="46">
        <v>218</v>
      </c>
      <c r="K725" s="46" t="s">
        <v>1482</v>
      </c>
      <c r="L725" s="46" t="s">
        <v>1483</v>
      </c>
      <c r="M725" s="46" t="s">
        <v>46</v>
      </c>
    </row>
    <row r="726" spans="1:13">
      <c r="A726" s="47">
        <v>45923</v>
      </c>
      <c r="B726" s="46" t="s">
        <v>1128</v>
      </c>
      <c r="C726" s="46" t="s">
        <v>1129</v>
      </c>
      <c r="D726" s="46" t="s">
        <v>1130</v>
      </c>
      <c r="E726" s="46" t="s">
        <v>1131</v>
      </c>
      <c r="F726" s="46">
        <v>135555</v>
      </c>
      <c r="G726" s="46">
        <v>6016</v>
      </c>
      <c r="H726" s="46">
        <v>1132</v>
      </c>
      <c r="I726" s="46">
        <v>528</v>
      </c>
      <c r="J726" s="46">
        <v>291</v>
      </c>
      <c r="K726" s="46" t="s">
        <v>1204</v>
      </c>
      <c r="L726" s="46" t="s">
        <v>1484</v>
      </c>
      <c r="M726" s="46" t="s">
        <v>22</v>
      </c>
    </row>
    <row r="727" spans="1:13">
      <c r="A727" s="47">
        <v>45924</v>
      </c>
      <c r="B727" s="46" t="s">
        <v>1128</v>
      </c>
      <c r="C727" s="46" t="s">
        <v>1129</v>
      </c>
      <c r="D727" s="46" t="s">
        <v>1130</v>
      </c>
      <c r="E727" s="46" t="s">
        <v>1131</v>
      </c>
      <c r="F727" s="46">
        <v>170800</v>
      </c>
      <c r="G727" s="46">
        <v>9993</v>
      </c>
      <c r="H727" s="46">
        <v>1997</v>
      </c>
      <c r="I727" s="46">
        <v>1153</v>
      </c>
      <c r="J727" s="46">
        <v>565</v>
      </c>
      <c r="K727" s="46" t="s">
        <v>1485</v>
      </c>
      <c r="L727" s="46" t="s">
        <v>1486</v>
      </c>
      <c r="M727" s="46" t="s">
        <v>22</v>
      </c>
    </row>
    <row r="728" spans="1:13">
      <c r="A728" s="47">
        <v>45925</v>
      </c>
      <c r="B728" s="46" t="s">
        <v>1128</v>
      </c>
      <c r="C728" s="46" t="s">
        <v>1129</v>
      </c>
      <c r="D728" s="46" t="s">
        <v>1130</v>
      </c>
      <c r="E728" s="46" t="s">
        <v>1131</v>
      </c>
      <c r="F728" s="46">
        <v>216281</v>
      </c>
      <c r="G728" s="46">
        <v>12275</v>
      </c>
      <c r="H728" s="46">
        <v>2743</v>
      </c>
      <c r="I728" s="46">
        <v>1436</v>
      </c>
      <c r="J728" s="46">
        <v>761</v>
      </c>
      <c r="K728" s="46" t="s">
        <v>1487</v>
      </c>
      <c r="L728" s="46" t="s">
        <v>1488</v>
      </c>
      <c r="M728" s="46" t="s">
        <v>46</v>
      </c>
    </row>
    <row r="729" spans="1:13">
      <c r="A729" s="47">
        <v>45926</v>
      </c>
      <c r="B729" s="46" t="s">
        <v>1128</v>
      </c>
      <c r="C729" s="46" t="s">
        <v>1129</v>
      </c>
      <c r="D729" s="46" t="s">
        <v>1130</v>
      </c>
      <c r="E729" s="46" t="s">
        <v>1131</v>
      </c>
      <c r="F729" s="46">
        <v>288814</v>
      </c>
      <c r="G729" s="46">
        <v>15144</v>
      </c>
      <c r="H729" s="46">
        <v>3229</v>
      </c>
      <c r="I729" s="46">
        <v>1667</v>
      </c>
      <c r="J729" s="46">
        <v>717</v>
      </c>
      <c r="K729" s="46" t="s">
        <v>1489</v>
      </c>
      <c r="L729" s="46" t="s">
        <v>1490</v>
      </c>
      <c r="M729" s="46" t="s">
        <v>35</v>
      </c>
    </row>
    <row r="730" spans="1:13">
      <c r="A730" s="47">
        <v>45927</v>
      </c>
      <c r="B730" s="46" t="s">
        <v>1128</v>
      </c>
      <c r="C730" s="46" t="s">
        <v>1129</v>
      </c>
      <c r="D730" s="46" t="s">
        <v>1130</v>
      </c>
      <c r="E730" s="46" t="s">
        <v>1131</v>
      </c>
      <c r="F730" s="46">
        <v>63287</v>
      </c>
      <c r="G730" s="46">
        <v>2103</v>
      </c>
      <c r="H730" s="46">
        <v>392</v>
      </c>
      <c r="I730" s="46">
        <v>234</v>
      </c>
      <c r="J730" s="46">
        <v>105</v>
      </c>
      <c r="K730" s="46" t="s">
        <v>1491</v>
      </c>
      <c r="L730" s="46" t="s">
        <v>1492</v>
      </c>
      <c r="M730" s="46" t="s">
        <v>19</v>
      </c>
    </row>
    <row r="731" spans="1:13">
      <c r="A731" s="47">
        <v>45928</v>
      </c>
      <c r="B731" s="46" t="s">
        <v>1128</v>
      </c>
      <c r="C731" s="46" t="s">
        <v>1129</v>
      </c>
      <c r="D731" s="46" t="s">
        <v>1130</v>
      </c>
      <c r="E731" s="46" t="s">
        <v>1131</v>
      </c>
      <c r="F731" s="46">
        <v>84362</v>
      </c>
      <c r="G731" s="46">
        <v>5530</v>
      </c>
      <c r="H731" s="46">
        <v>851</v>
      </c>
      <c r="I731" s="46">
        <v>502</v>
      </c>
      <c r="J731" s="46">
        <v>294</v>
      </c>
      <c r="K731" s="46" t="s">
        <v>1493</v>
      </c>
      <c r="L731" s="46" t="s">
        <v>1494</v>
      </c>
      <c r="M731" s="46" t="s">
        <v>53</v>
      </c>
    </row>
    <row r="732" spans="1:13">
      <c r="A732" s="47">
        <v>45929</v>
      </c>
      <c r="B732" s="46" t="s">
        <v>1128</v>
      </c>
      <c r="C732" s="46" t="s">
        <v>1129</v>
      </c>
      <c r="D732" s="46" t="s">
        <v>1130</v>
      </c>
      <c r="E732" s="46" t="s">
        <v>1131</v>
      </c>
      <c r="F732" s="46">
        <v>183268</v>
      </c>
      <c r="G732" s="46">
        <v>7046</v>
      </c>
      <c r="H732" s="46">
        <v>1579</v>
      </c>
      <c r="I732" s="46">
        <v>810</v>
      </c>
      <c r="J732" s="46">
        <v>481</v>
      </c>
      <c r="K732" s="46" t="s">
        <v>1495</v>
      </c>
      <c r="L732" s="46" t="s">
        <v>1496</v>
      </c>
      <c r="M732" s="46" t="s">
        <v>35</v>
      </c>
    </row>
    <row r="733" spans="1:13">
      <c r="A733" s="47">
        <v>45930</v>
      </c>
      <c r="B733" s="46" t="s">
        <v>1128</v>
      </c>
      <c r="C733" s="46" t="s">
        <v>1129</v>
      </c>
      <c r="D733" s="46" t="s">
        <v>1130</v>
      </c>
      <c r="E733" s="46" t="s">
        <v>1131</v>
      </c>
      <c r="F733" s="46">
        <v>262678</v>
      </c>
      <c r="G733" s="46">
        <v>8632</v>
      </c>
      <c r="H733" s="46">
        <v>1659</v>
      </c>
      <c r="I733" s="46">
        <v>1014</v>
      </c>
      <c r="J733" s="46">
        <v>452</v>
      </c>
      <c r="K733" s="46" t="s">
        <v>1497</v>
      </c>
      <c r="L733" s="46" t="s">
        <v>1498</v>
      </c>
      <c r="M733" s="46" t="s">
        <v>53</v>
      </c>
    </row>
    <row r="734" spans="1:13">
      <c r="A734" s="47">
        <v>45931</v>
      </c>
      <c r="B734" s="46" t="s">
        <v>1128</v>
      </c>
      <c r="C734" s="46" t="s">
        <v>1129</v>
      </c>
      <c r="D734" s="46" t="s">
        <v>1130</v>
      </c>
      <c r="E734" s="46" t="s">
        <v>1131</v>
      </c>
      <c r="F734" s="46">
        <v>96963</v>
      </c>
      <c r="G734" s="46">
        <v>4818</v>
      </c>
      <c r="H734" s="46">
        <v>1033</v>
      </c>
      <c r="I734" s="46">
        <v>523</v>
      </c>
      <c r="J734" s="46">
        <v>239</v>
      </c>
      <c r="K734" s="46" t="s">
        <v>1499</v>
      </c>
      <c r="L734" s="46" t="s">
        <v>1500</v>
      </c>
      <c r="M734" s="46" t="s">
        <v>19</v>
      </c>
    </row>
    <row r="735" spans="1:13">
      <c r="A735" s="47">
        <v>45932</v>
      </c>
      <c r="B735" s="46" t="s">
        <v>1128</v>
      </c>
      <c r="C735" s="46" t="s">
        <v>1129</v>
      </c>
      <c r="D735" s="46" t="s">
        <v>1130</v>
      </c>
      <c r="E735" s="46" t="s">
        <v>1131</v>
      </c>
      <c r="F735" s="46">
        <v>238932</v>
      </c>
      <c r="G735" s="46">
        <v>17897</v>
      </c>
      <c r="H735" s="46">
        <v>3400</v>
      </c>
      <c r="I735" s="46">
        <v>1696</v>
      </c>
      <c r="J735" s="46">
        <v>835</v>
      </c>
      <c r="K735" s="46" t="s">
        <v>1501</v>
      </c>
      <c r="L735" s="46" t="s">
        <v>1502</v>
      </c>
      <c r="M735" s="46" t="s">
        <v>53</v>
      </c>
    </row>
    <row r="736" spans="1:13">
      <c r="A736" s="47">
        <v>45933</v>
      </c>
      <c r="B736" s="46" t="s">
        <v>1128</v>
      </c>
      <c r="C736" s="46" t="s">
        <v>1129</v>
      </c>
      <c r="D736" s="46" t="s">
        <v>1130</v>
      </c>
      <c r="E736" s="46" t="s">
        <v>1131</v>
      </c>
      <c r="F736" s="46">
        <v>86613</v>
      </c>
      <c r="G736" s="46">
        <v>4270</v>
      </c>
      <c r="H736" s="46">
        <v>804</v>
      </c>
      <c r="I736" s="46">
        <v>520</v>
      </c>
      <c r="J736" s="46">
        <v>293</v>
      </c>
      <c r="K736" s="46" t="s">
        <v>1503</v>
      </c>
      <c r="L736" s="46" t="s">
        <v>1504</v>
      </c>
      <c r="M736" s="46" t="s">
        <v>53</v>
      </c>
    </row>
    <row r="737" spans="1:13">
      <c r="A737" s="47">
        <v>45934</v>
      </c>
      <c r="B737" s="46" t="s">
        <v>1128</v>
      </c>
      <c r="C737" s="46" t="s">
        <v>1129</v>
      </c>
      <c r="D737" s="46" t="s">
        <v>1130</v>
      </c>
      <c r="E737" s="46" t="s">
        <v>1131</v>
      </c>
      <c r="F737" s="46">
        <v>133105</v>
      </c>
      <c r="G737" s="46">
        <v>6571</v>
      </c>
      <c r="H737" s="46">
        <v>1269</v>
      </c>
      <c r="I737" s="46">
        <v>758</v>
      </c>
      <c r="J737" s="46">
        <v>414</v>
      </c>
      <c r="K737" s="46" t="s">
        <v>1505</v>
      </c>
      <c r="L737" s="46" t="s">
        <v>1506</v>
      </c>
      <c r="M737" s="46" t="s">
        <v>35</v>
      </c>
    </row>
    <row r="738" spans="1:13">
      <c r="A738" s="47">
        <v>45935</v>
      </c>
      <c r="B738" s="46" t="s">
        <v>1128</v>
      </c>
      <c r="C738" s="46" t="s">
        <v>1129</v>
      </c>
      <c r="D738" s="46" t="s">
        <v>1130</v>
      </c>
      <c r="E738" s="46" t="s">
        <v>1131</v>
      </c>
      <c r="F738" s="46">
        <v>277734</v>
      </c>
      <c r="G738" s="46">
        <v>16825</v>
      </c>
      <c r="H738" s="46">
        <v>4065</v>
      </c>
      <c r="I738" s="46">
        <v>1971</v>
      </c>
      <c r="J738" s="46">
        <v>1056</v>
      </c>
      <c r="K738" s="46" t="s">
        <v>1507</v>
      </c>
      <c r="L738" s="46" t="s">
        <v>1508</v>
      </c>
      <c r="M738" s="46" t="s">
        <v>22</v>
      </c>
    </row>
    <row r="739" spans="1:13">
      <c r="A739" s="47">
        <v>45936</v>
      </c>
      <c r="B739" s="46" t="s">
        <v>1128</v>
      </c>
      <c r="C739" s="46" t="s">
        <v>1129</v>
      </c>
      <c r="D739" s="46" t="s">
        <v>1130</v>
      </c>
      <c r="E739" s="46" t="s">
        <v>1131</v>
      </c>
      <c r="F739" s="46">
        <v>116985</v>
      </c>
      <c r="G739" s="46">
        <v>8242</v>
      </c>
      <c r="H739" s="46">
        <v>1752</v>
      </c>
      <c r="I739" s="46">
        <v>845</v>
      </c>
      <c r="J739" s="46">
        <v>384</v>
      </c>
      <c r="K739" s="46" t="s">
        <v>1509</v>
      </c>
      <c r="L739" s="46" t="s">
        <v>1510</v>
      </c>
      <c r="M739" s="46" t="s">
        <v>19</v>
      </c>
    </row>
    <row r="740" spans="1:13">
      <c r="A740" s="47">
        <v>45937</v>
      </c>
      <c r="B740" s="46" t="s">
        <v>1128</v>
      </c>
      <c r="C740" s="46" t="s">
        <v>1129</v>
      </c>
      <c r="D740" s="46" t="s">
        <v>1130</v>
      </c>
      <c r="E740" s="46" t="s">
        <v>1131</v>
      </c>
      <c r="F740" s="46">
        <v>229002</v>
      </c>
      <c r="G740" s="46">
        <v>17513</v>
      </c>
      <c r="H740" s="46">
        <v>3683</v>
      </c>
      <c r="I740" s="46">
        <v>2365</v>
      </c>
      <c r="J740" s="46">
        <v>1189</v>
      </c>
      <c r="K740" s="46" t="s">
        <v>1511</v>
      </c>
      <c r="L740" s="46" t="s">
        <v>1512</v>
      </c>
      <c r="M740" s="46" t="s">
        <v>35</v>
      </c>
    </row>
    <row r="741" spans="1:13">
      <c r="A741" s="47">
        <v>45938</v>
      </c>
      <c r="B741" s="46" t="s">
        <v>1128</v>
      </c>
      <c r="C741" s="46" t="s">
        <v>1129</v>
      </c>
      <c r="D741" s="46" t="s">
        <v>1130</v>
      </c>
      <c r="E741" s="46" t="s">
        <v>1131</v>
      </c>
      <c r="F741" s="46">
        <v>190424</v>
      </c>
      <c r="G741" s="46">
        <v>10827</v>
      </c>
      <c r="H741" s="46">
        <v>2153</v>
      </c>
      <c r="I741" s="46">
        <v>1389</v>
      </c>
      <c r="J741" s="46">
        <v>633</v>
      </c>
      <c r="K741" s="46" t="s">
        <v>1513</v>
      </c>
      <c r="L741" s="46" t="s">
        <v>1514</v>
      </c>
      <c r="M741" s="46" t="s">
        <v>46</v>
      </c>
    </row>
    <row r="742" spans="1:13">
      <c r="A742" s="47">
        <v>45939</v>
      </c>
      <c r="B742" s="46" t="s">
        <v>1128</v>
      </c>
      <c r="C742" s="46" t="s">
        <v>1129</v>
      </c>
      <c r="D742" s="46" t="s">
        <v>1130</v>
      </c>
      <c r="E742" s="46" t="s">
        <v>1131</v>
      </c>
      <c r="F742" s="46">
        <v>110972</v>
      </c>
      <c r="G742" s="46">
        <v>4268</v>
      </c>
      <c r="H742" s="46">
        <v>982</v>
      </c>
      <c r="I742" s="46">
        <v>454</v>
      </c>
      <c r="J742" s="46">
        <v>200</v>
      </c>
      <c r="K742" s="46" t="s">
        <v>1515</v>
      </c>
      <c r="L742" s="46" t="s">
        <v>1516</v>
      </c>
      <c r="M742" s="46" t="s">
        <v>35</v>
      </c>
    </row>
    <row r="743" spans="1:13">
      <c r="A743" s="47">
        <v>45940</v>
      </c>
      <c r="B743" s="46" t="s">
        <v>1128</v>
      </c>
      <c r="C743" s="46" t="s">
        <v>1129</v>
      </c>
      <c r="D743" s="46" t="s">
        <v>1130</v>
      </c>
      <c r="E743" s="46" t="s">
        <v>1131</v>
      </c>
      <c r="F743" s="46">
        <v>90691</v>
      </c>
      <c r="G743" s="46">
        <v>6497</v>
      </c>
      <c r="H743" s="46">
        <v>1168</v>
      </c>
      <c r="I743" s="46">
        <v>594</v>
      </c>
      <c r="J743" s="46">
        <v>242</v>
      </c>
      <c r="K743" s="46" t="s">
        <v>1517</v>
      </c>
      <c r="L743" s="46" t="s">
        <v>1518</v>
      </c>
      <c r="M743" s="46" t="s">
        <v>46</v>
      </c>
    </row>
    <row r="744" spans="1:13">
      <c r="A744" s="47">
        <v>45941</v>
      </c>
      <c r="B744" s="46" t="s">
        <v>1128</v>
      </c>
      <c r="C744" s="46" t="s">
        <v>1129</v>
      </c>
      <c r="D744" s="46" t="s">
        <v>1130</v>
      </c>
      <c r="E744" s="46" t="s">
        <v>1131</v>
      </c>
      <c r="F744" s="46">
        <v>58157</v>
      </c>
      <c r="G744" s="46">
        <v>3232</v>
      </c>
      <c r="H744" s="46">
        <v>534</v>
      </c>
      <c r="I744" s="46">
        <v>257</v>
      </c>
      <c r="J744" s="46">
        <v>110</v>
      </c>
      <c r="K744" s="46" t="s">
        <v>1519</v>
      </c>
      <c r="L744" s="46" t="s">
        <v>1520</v>
      </c>
      <c r="M744" s="46" t="s">
        <v>35</v>
      </c>
    </row>
    <row r="745" spans="1:13">
      <c r="A745" s="47">
        <v>45942</v>
      </c>
      <c r="B745" s="46" t="s">
        <v>1128</v>
      </c>
      <c r="C745" s="46" t="s">
        <v>1129</v>
      </c>
      <c r="D745" s="46" t="s">
        <v>1130</v>
      </c>
      <c r="E745" s="46" t="s">
        <v>1131</v>
      </c>
      <c r="F745" s="46">
        <v>135976</v>
      </c>
      <c r="G745" s="46">
        <v>10257</v>
      </c>
      <c r="H745" s="46">
        <v>1702</v>
      </c>
      <c r="I745" s="46">
        <v>1092</v>
      </c>
      <c r="J745" s="46">
        <v>457</v>
      </c>
      <c r="K745" s="46" t="s">
        <v>1521</v>
      </c>
      <c r="L745" s="46" t="s">
        <v>1522</v>
      </c>
      <c r="M745" s="46" t="s">
        <v>46</v>
      </c>
    </row>
    <row r="746" spans="1:13">
      <c r="A746" s="47">
        <v>45943</v>
      </c>
      <c r="B746" s="46" t="s">
        <v>1128</v>
      </c>
      <c r="C746" s="46" t="s">
        <v>1129</v>
      </c>
      <c r="D746" s="46" t="s">
        <v>1130</v>
      </c>
      <c r="E746" s="46" t="s">
        <v>1131</v>
      </c>
      <c r="F746" s="46">
        <v>75257</v>
      </c>
      <c r="G746" s="46">
        <v>2399</v>
      </c>
      <c r="H746" s="46">
        <v>411</v>
      </c>
      <c r="I746" s="46">
        <v>199</v>
      </c>
      <c r="J746" s="46">
        <v>112</v>
      </c>
      <c r="K746" s="46" t="s">
        <v>1523</v>
      </c>
      <c r="L746" s="46" t="s">
        <v>1524</v>
      </c>
      <c r="M746" s="46" t="s">
        <v>35</v>
      </c>
    </row>
    <row r="747" spans="1:13">
      <c r="A747" s="47">
        <v>45944</v>
      </c>
      <c r="B747" s="46" t="s">
        <v>1128</v>
      </c>
      <c r="C747" s="46" t="s">
        <v>1129</v>
      </c>
      <c r="D747" s="46" t="s">
        <v>1130</v>
      </c>
      <c r="E747" s="46" t="s">
        <v>1131</v>
      </c>
      <c r="F747" s="46">
        <v>198364</v>
      </c>
      <c r="G747" s="46">
        <v>13118</v>
      </c>
      <c r="H747" s="46">
        <v>1984</v>
      </c>
      <c r="I747" s="46">
        <v>1175</v>
      </c>
      <c r="J747" s="46">
        <v>480</v>
      </c>
      <c r="K747" s="46" t="s">
        <v>1525</v>
      </c>
      <c r="L747" s="46" t="s">
        <v>1526</v>
      </c>
      <c r="M747" s="46" t="s">
        <v>19</v>
      </c>
    </row>
    <row r="748" spans="1:13">
      <c r="A748" s="47">
        <v>45945</v>
      </c>
      <c r="B748" s="46" t="s">
        <v>1128</v>
      </c>
      <c r="C748" s="46" t="s">
        <v>1129</v>
      </c>
      <c r="D748" s="46" t="s">
        <v>1130</v>
      </c>
      <c r="E748" s="46" t="s">
        <v>1131</v>
      </c>
      <c r="F748" s="46">
        <v>295919</v>
      </c>
      <c r="G748" s="46">
        <v>17609</v>
      </c>
      <c r="H748" s="46">
        <v>3372</v>
      </c>
      <c r="I748" s="46">
        <v>1885</v>
      </c>
      <c r="J748" s="46">
        <v>798</v>
      </c>
      <c r="K748" s="46" t="s">
        <v>1527</v>
      </c>
      <c r="L748" s="46" t="s">
        <v>1528</v>
      </c>
      <c r="M748" s="46" t="s">
        <v>19</v>
      </c>
    </row>
    <row r="749" spans="1:13">
      <c r="A749" s="47">
        <v>45946</v>
      </c>
      <c r="B749" s="46" t="s">
        <v>1128</v>
      </c>
      <c r="C749" s="46" t="s">
        <v>1129</v>
      </c>
      <c r="D749" s="46" t="s">
        <v>1130</v>
      </c>
      <c r="E749" s="46" t="s">
        <v>1131</v>
      </c>
      <c r="F749" s="46">
        <v>219192</v>
      </c>
      <c r="G749" s="46">
        <v>9561</v>
      </c>
      <c r="H749" s="46">
        <v>2253</v>
      </c>
      <c r="I749" s="46">
        <v>1253</v>
      </c>
      <c r="J749" s="46">
        <v>681</v>
      </c>
      <c r="K749" s="46" t="s">
        <v>1529</v>
      </c>
      <c r="L749" s="46" t="s">
        <v>1530</v>
      </c>
      <c r="M749" s="46" t="s">
        <v>35</v>
      </c>
    </row>
    <row r="750" spans="1:13">
      <c r="A750" s="47">
        <v>45947</v>
      </c>
      <c r="B750" s="46" t="s">
        <v>1128</v>
      </c>
      <c r="C750" s="46" t="s">
        <v>1129</v>
      </c>
      <c r="D750" s="46" t="s">
        <v>1130</v>
      </c>
      <c r="E750" s="46" t="s">
        <v>1131</v>
      </c>
      <c r="F750" s="46">
        <v>274932</v>
      </c>
      <c r="G750" s="46">
        <v>19134</v>
      </c>
      <c r="H750" s="46">
        <v>4243</v>
      </c>
      <c r="I750" s="46">
        <v>2579</v>
      </c>
      <c r="J750" s="46">
        <v>1097</v>
      </c>
      <c r="K750" s="46" t="s">
        <v>1531</v>
      </c>
      <c r="L750" s="46" t="s">
        <v>1532</v>
      </c>
      <c r="M750" s="46" t="s">
        <v>22</v>
      </c>
    </row>
    <row r="751" spans="1:13">
      <c r="A751" s="47">
        <v>45948</v>
      </c>
      <c r="B751" s="46" t="s">
        <v>1128</v>
      </c>
      <c r="C751" s="46" t="s">
        <v>1129</v>
      </c>
      <c r="D751" s="46" t="s">
        <v>1130</v>
      </c>
      <c r="E751" s="46" t="s">
        <v>1131</v>
      </c>
      <c r="F751" s="46">
        <v>73891</v>
      </c>
      <c r="G751" s="46">
        <v>5322</v>
      </c>
      <c r="H751" s="46">
        <v>940</v>
      </c>
      <c r="I751" s="46">
        <v>560</v>
      </c>
      <c r="J751" s="46">
        <v>325</v>
      </c>
      <c r="K751" s="46" t="s">
        <v>1533</v>
      </c>
      <c r="L751" s="46" t="s">
        <v>1534</v>
      </c>
      <c r="M751" s="46" t="s">
        <v>35</v>
      </c>
    </row>
    <row r="752" spans="1:13">
      <c r="A752" s="47">
        <v>45949</v>
      </c>
      <c r="B752" s="46" t="s">
        <v>1128</v>
      </c>
      <c r="C752" s="46" t="s">
        <v>1129</v>
      </c>
      <c r="D752" s="46" t="s">
        <v>1130</v>
      </c>
      <c r="E752" s="46" t="s">
        <v>1131</v>
      </c>
      <c r="F752" s="46">
        <v>78968</v>
      </c>
      <c r="G752" s="46">
        <v>2541</v>
      </c>
      <c r="H752" s="46">
        <v>471</v>
      </c>
      <c r="I752" s="46">
        <v>249</v>
      </c>
      <c r="J752" s="46">
        <v>121</v>
      </c>
      <c r="K752" s="46" t="s">
        <v>1535</v>
      </c>
      <c r="L752" s="46" t="s">
        <v>1536</v>
      </c>
      <c r="M752" s="46" t="s">
        <v>22</v>
      </c>
    </row>
    <row r="753" spans="1:13">
      <c r="A753" s="47">
        <v>45950</v>
      </c>
      <c r="B753" s="46" t="s">
        <v>1128</v>
      </c>
      <c r="C753" s="46" t="s">
        <v>1129</v>
      </c>
      <c r="D753" s="46" t="s">
        <v>1130</v>
      </c>
      <c r="E753" s="46" t="s">
        <v>1131</v>
      </c>
      <c r="F753" s="46">
        <v>260789</v>
      </c>
      <c r="G753" s="46">
        <v>14483</v>
      </c>
      <c r="H753" s="46">
        <v>2729</v>
      </c>
      <c r="I753" s="46">
        <v>1300</v>
      </c>
      <c r="J753" s="46">
        <v>685</v>
      </c>
      <c r="K753" s="46" t="s">
        <v>1537</v>
      </c>
      <c r="L753" s="46" t="s">
        <v>1538</v>
      </c>
      <c r="M753" s="46" t="s">
        <v>19</v>
      </c>
    </row>
    <row r="754" spans="1:13">
      <c r="A754" s="47">
        <v>45951</v>
      </c>
      <c r="B754" s="46" t="s">
        <v>1128</v>
      </c>
      <c r="C754" s="46" t="s">
        <v>1129</v>
      </c>
      <c r="D754" s="46" t="s">
        <v>1130</v>
      </c>
      <c r="E754" s="46" t="s">
        <v>1131</v>
      </c>
      <c r="F754" s="46">
        <v>134380</v>
      </c>
      <c r="G754" s="46">
        <v>6252</v>
      </c>
      <c r="H754" s="46">
        <v>1300</v>
      </c>
      <c r="I754" s="46">
        <v>685</v>
      </c>
      <c r="J754" s="46">
        <v>354</v>
      </c>
      <c r="K754" s="46" t="s">
        <v>1539</v>
      </c>
      <c r="L754" s="46" t="s">
        <v>1540</v>
      </c>
      <c r="M754" s="46" t="s">
        <v>53</v>
      </c>
    </row>
    <row r="755" spans="1:13">
      <c r="A755" s="47">
        <v>45952</v>
      </c>
      <c r="B755" s="46" t="s">
        <v>1128</v>
      </c>
      <c r="C755" s="46" t="s">
        <v>1129</v>
      </c>
      <c r="D755" s="46" t="s">
        <v>1130</v>
      </c>
      <c r="E755" s="46" t="s">
        <v>1131</v>
      </c>
      <c r="F755" s="46">
        <v>287916</v>
      </c>
      <c r="G755" s="46">
        <v>10349</v>
      </c>
      <c r="H755" s="46">
        <v>1738</v>
      </c>
      <c r="I755" s="46">
        <v>838</v>
      </c>
      <c r="J755" s="46">
        <v>398</v>
      </c>
      <c r="K755" s="46" t="s">
        <v>1541</v>
      </c>
      <c r="L755" s="46" t="s">
        <v>1542</v>
      </c>
      <c r="M755" s="46" t="s">
        <v>46</v>
      </c>
    </row>
    <row r="756" spans="1:13">
      <c r="A756" s="47">
        <v>45953</v>
      </c>
      <c r="B756" s="46" t="s">
        <v>1128</v>
      </c>
      <c r="C756" s="46" t="s">
        <v>1129</v>
      </c>
      <c r="D756" s="46" t="s">
        <v>1130</v>
      </c>
      <c r="E756" s="46" t="s">
        <v>1131</v>
      </c>
      <c r="F756" s="46">
        <v>216575</v>
      </c>
      <c r="G756" s="46">
        <v>12444</v>
      </c>
      <c r="H756" s="46">
        <v>2477</v>
      </c>
      <c r="I756" s="46">
        <v>1587</v>
      </c>
      <c r="J756" s="46">
        <v>674</v>
      </c>
      <c r="K756" s="46" t="s">
        <v>1543</v>
      </c>
      <c r="L756" s="46" t="s">
        <v>1544</v>
      </c>
      <c r="M756" s="46" t="s">
        <v>35</v>
      </c>
    </row>
    <row r="757" spans="1:13">
      <c r="A757" s="47">
        <v>45954</v>
      </c>
      <c r="B757" s="46" t="s">
        <v>1128</v>
      </c>
      <c r="C757" s="46" t="s">
        <v>1129</v>
      </c>
      <c r="D757" s="46" t="s">
        <v>1130</v>
      </c>
      <c r="E757" s="46" t="s">
        <v>1131</v>
      </c>
      <c r="F757" s="46">
        <v>71172</v>
      </c>
      <c r="G757" s="46">
        <v>4222</v>
      </c>
      <c r="H757" s="46">
        <v>908</v>
      </c>
      <c r="I757" s="46">
        <v>490</v>
      </c>
      <c r="J757" s="46">
        <v>236</v>
      </c>
      <c r="K757" s="46" t="s">
        <v>1545</v>
      </c>
      <c r="L757" s="46" t="s">
        <v>1546</v>
      </c>
      <c r="M757" s="46" t="s">
        <v>22</v>
      </c>
    </row>
    <row r="758" spans="1:13">
      <c r="A758" s="47">
        <v>45955</v>
      </c>
      <c r="B758" s="46" t="s">
        <v>1128</v>
      </c>
      <c r="C758" s="46" t="s">
        <v>1129</v>
      </c>
      <c r="D758" s="46" t="s">
        <v>1130</v>
      </c>
      <c r="E758" s="46" t="s">
        <v>1131</v>
      </c>
      <c r="F758" s="46">
        <v>198682</v>
      </c>
      <c r="G758" s="46">
        <v>8609</v>
      </c>
      <c r="H758" s="46">
        <v>1832</v>
      </c>
      <c r="I758" s="46">
        <v>1094</v>
      </c>
      <c r="J758" s="46">
        <v>574</v>
      </c>
      <c r="K758" s="46" t="s">
        <v>1547</v>
      </c>
      <c r="L758" s="46" t="s">
        <v>1548</v>
      </c>
      <c r="M758" s="46" t="s">
        <v>53</v>
      </c>
    </row>
    <row r="759" spans="1:13">
      <c r="A759" s="47">
        <v>45956</v>
      </c>
      <c r="B759" s="46" t="s">
        <v>1128</v>
      </c>
      <c r="C759" s="46" t="s">
        <v>1129</v>
      </c>
      <c r="D759" s="46" t="s">
        <v>1130</v>
      </c>
      <c r="E759" s="46" t="s">
        <v>1131</v>
      </c>
      <c r="F759" s="46">
        <v>87021</v>
      </c>
      <c r="G759" s="46">
        <v>6502</v>
      </c>
      <c r="H759" s="46">
        <v>1617</v>
      </c>
      <c r="I759" s="46">
        <v>998</v>
      </c>
      <c r="J759" s="46">
        <v>494</v>
      </c>
      <c r="K759" s="46" t="s">
        <v>1549</v>
      </c>
      <c r="L759" s="46" t="s">
        <v>1550</v>
      </c>
      <c r="M759" s="46" t="s">
        <v>46</v>
      </c>
    </row>
    <row r="760" spans="1:13">
      <c r="A760" s="47">
        <v>45957</v>
      </c>
      <c r="B760" s="46" t="s">
        <v>1128</v>
      </c>
      <c r="C760" s="46" t="s">
        <v>1129</v>
      </c>
      <c r="D760" s="46" t="s">
        <v>1130</v>
      </c>
      <c r="E760" s="46" t="s">
        <v>1131</v>
      </c>
      <c r="F760" s="46">
        <v>277676</v>
      </c>
      <c r="G760" s="46">
        <v>18342</v>
      </c>
      <c r="H760" s="46">
        <v>3757</v>
      </c>
      <c r="I760" s="46">
        <v>2032</v>
      </c>
      <c r="J760" s="46">
        <v>1017</v>
      </c>
      <c r="K760" s="46" t="s">
        <v>1551</v>
      </c>
      <c r="L760" s="46" t="s">
        <v>1552</v>
      </c>
      <c r="M760" s="46" t="s">
        <v>53</v>
      </c>
    </row>
    <row r="761" spans="1:13">
      <c r="A761" s="47">
        <v>45958</v>
      </c>
      <c r="B761" s="46" t="s">
        <v>1128</v>
      </c>
      <c r="C761" s="46" t="s">
        <v>1129</v>
      </c>
      <c r="D761" s="46" t="s">
        <v>1130</v>
      </c>
      <c r="E761" s="46" t="s">
        <v>1131</v>
      </c>
      <c r="F761" s="46">
        <v>132019</v>
      </c>
      <c r="G761" s="46">
        <v>9429</v>
      </c>
      <c r="H761" s="46">
        <v>2004</v>
      </c>
      <c r="I761" s="46">
        <v>1029</v>
      </c>
      <c r="J761" s="46">
        <v>542</v>
      </c>
      <c r="K761" s="46" t="s">
        <v>1553</v>
      </c>
      <c r="L761" s="46" t="s">
        <v>1554</v>
      </c>
      <c r="M761" s="46" t="s">
        <v>19</v>
      </c>
    </row>
    <row r="762" spans="1:13">
      <c r="A762" s="47">
        <v>45959</v>
      </c>
      <c r="B762" s="46" t="s">
        <v>1128</v>
      </c>
      <c r="C762" s="46" t="s">
        <v>1129</v>
      </c>
      <c r="D762" s="46" t="s">
        <v>1130</v>
      </c>
      <c r="E762" s="46" t="s">
        <v>1131</v>
      </c>
      <c r="F762" s="46">
        <v>89527</v>
      </c>
      <c r="G762" s="46">
        <v>5616</v>
      </c>
      <c r="H762" s="46">
        <v>865</v>
      </c>
      <c r="I762" s="46">
        <v>507</v>
      </c>
      <c r="J762" s="46">
        <v>215</v>
      </c>
      <c r="K762" s="46" t="s">
        <v>1555</v>
      </c>
      <c r="L762" s="46" t="s">
        <v>1556</v>
      </c>
      <c r="M762" s="46" t="s">
        <v>19</v>
      </c>
    </row>
    <row r="763" spans="1:13">
      <c r="A763" s="47">
        <v>45960</v>
      </c>
      <c r="B763" s="46" t="s">
        <v>1128</v>
      </c>
      <c r="C763" s="46" t="s">
        <v>1129</v>
      </c>
      <c r="D763" s="46" t="s">
        <v>1130</v>
      </c>
      <c r="E763" s="46" t="s">
        <v>1131</v>
      </c>
      <c r="F763" s="46">
        <v>232419</v>
      </c>
      <c r="G763" s="46">
        <v>17670</v>
      </c>
      <c r="H763" s="46">
        <v>3031</v>
      </c>
      <c r="I763" s="46">
        <v>1638</v>
      </c>
      <c r="J763" s="46">
        <v>975</v>
      </c>
      <c r="K763" s="46" t="s">
        <v>1557</v>
      </c>
      <c r="L763" s="46" t="s">
        <v>1558</v>
      </c>
      <c r="M763" s="46" t="s">
        <v>35</v>
      </c>
    </row>
    <row r="764" spans="1:13">
      <c r="A764" s="47">
        <v>45961</v>
      </c>
      <c r="B764" s="46" t="s">
        <v>1128</v>
      </c>
      <c r="C764" s="46" t="s">
        <v>1129</v>
      </c>
      <c r="D764" s="46" t="s">
        <v>1130</v>
      </c>
      <c r="E764" s="46" t="s">
        <v>1131</v>
      </c>
      <c r="F764" s="46">
        <v>267804</v>
      </c>
      <c r="G764" s="46">
        <v>19472</v>
      </c>
      <c r="H764" s="46">
        <v>4863</v>
      </c>
      <c r="I764" s="46">
        <v>2431</v>
      </c>
      <c r="J764" s="46">
        <v>1100</v>
      </c>
      <c r="K764" s="46" t="s">
        <v>1559</v>
      </c>
      <c r="L764" s="46" t="s">
        <v>1560</v>
      </c>
      <c r="M764" s="46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65"/>
  <sheetViews>
    <sheetView zoomScale="85" zoomScaleNormal="85" topLeftCell="D1" workbookViewId="0">
      <selection activeCell="O2" sqref="O2"/>
    </sheetView>
  </sheetViews>
  <sheetFormatPr defaultColWidth="8.88888888888889" defaultRowHeight="14.4"/>
  <cols>
    <col min="1" max="1" width="11.1111111111111" customWidth="1"/>
    <col min="2" max="2" width="12.1111111111111" customWidth="1"/>
    <col min="3" max="3" width="26.5555555555556" customWidth="1"/>
    <col min="4" max="4" width="10.8888888888889" customWidth="1"/>
    <col min="5" max="5" width="15.5555555555556" customWidth="1"/>
    <col min="6" max="6" width="5.66666666666667" customWidth="1"/>
    <col min="7" max="7" width="10.5555555555556" customWidth="1"/>
    <col min="8" max="8" width="11.8888888888889" customWidth="1"/>
    <col min="9" max="9" width="7.11111111111111" customWidth="1"/>
    <col min="10" max="10" width="6.44444444444444" customWidth="1"/>
    <col min="11" max="11" width="12.2222222222222" customWidth="1"/>
    <col min="12" max="12" width="11.8888888888889" customWidth="1"/>
    <col min="14" max="14" width="12.2222222222222" customWidth="1"/>
    <col min="15" max="15" width="21.4444444444444" customWidth="1"/>
    <col min="16" max="16" width="17.1111111111111" customWidth="1"/>
    <col min="18" max="19" width="12.8888888888889"/>
  </cols>
  <sheetData>
    <row r="1" spans="1:2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1561</v>
      </c>
      <c r="G1" s="23" t="s">
        <v>1562</v>
      </c>
      <c r="H1" s="24" t="s">
        <v>5</v>
      </c>
      <c r="I1" s="24" t="s">
        <v>6</v>
      </c>
      <c r="J1" s="25" t="s">
        <v>7</v>
      </c>
      <c r="K1" s="25" t="s">
        <v>8</v>
      </c>
      <c r="L1" s="25" t="s">
        <v>9</v>
      </c>
      <c r="M1" s="26" t="s">
        <v>1563</v>
      </c>
      <c r="N1" s="26" t="s">
        <v>1564</v>
      </c>
      <c r="O1" t="s">
        <v>1565</v>
      </c>
      <c r="P1" t="s">
        <v>1566</v>
      </c>
      <c r="Q1" s="27" t="s">
        <v>1567</v>
      </c>
      <c r="R1" t="s">
        <v>1568</v>
      </c>
      <c r="S1" t="s">
        <v>1569</v>
      </c>
      <c r="T1" t="s">
        <v>1570</v>
      </c>
    </row>
    <row r="2" spans="1:22">
      <c r="A2" s="28">
        <v>45292</v>
      </c>
      <c r="B2" s="29" t="s">
        <v>13</v>
      </c>
      <c r="C2" s="29" t="s">
        <v>14</v>
      </c>
      <c r="D2" s="29" t="s">
        <v>15</v>
      </c>
      <c r="E2" s="29" t="s">
        <v>1571</v>
      </c>
      <c r="F2" s="29">
        <f t="shared" ref="F2:F65" si="0">YEAR(A2)</f>
        <v>2024</v>
      </c>
      <c r="G2" s="29" t="str">
        <f t="shared" ref="G2:G65" si="1">TEXT(A2,"mmmm")</f>
        <v>January</v>
      </c>
      <c r="H2" s="30">
        <v>285708</v>
      </c>
      <c r="I2" s="30">
        <v>16956</v>
      </c>
      <c r="J2" s="31">
        <v>4087</v>
      </c>
      <c r="K2" s="31">
        <v>2547</v>
      </c>
      <c r="L2" s="31">
        <v>1148</v>
      </c>
      <c r="M2" s="32">
        <v>275457.87</v>
      </c>
      <c r="N2" s="32">
        <v>4615838.04</v>
      </c>
      <c r="O2" s="33">
        <f>ROUND(I2/H2*100,2)</f>
        <v>5.93</v>
      </c>
      <c r="P2" s="34">
        <f>M2/J2</f>
        <v>67.3985490579887</v>
      </c>
      <c r="Q2" s="35">
        <f t="shared" ref="Q2:Q65" si="2">N2/M2</f>
        <v>16.7569655570197</v>
      </c>
      <c r="R2" s="35">
        <f>(M2/I2)</f>
        <v>16.2454511677282</v>
      </c>
      <c r="S2" s="33">
        <f>ROUND(M2/H2*1000,2)</f>
        <v>964.12</v>
      </c>
      <c r="T2" s="36">
        <f>ROUND((N2-M2)/M2*100,2)</f>
        <v>1575.7</v>
      </c>
      <c r="U2" s="36"/>
      <c r="V2" s="36"/>
    </row>
    <row r="3" spans="1:22">
      <c r="A3" s="37">
        <v>45323</v>
      </c>
      <c r="B3" s="38" t="s">
        <v>13</v>
      </c>
      <c r="C3" s="38" t="s">
        <v>14</v>
      </c>
      <c r="D3" s="38" t="s">
        <v>15</v>
      </c>
      <c r="E3" s="38" t="s">
        <v>1571</v>
      </c>
      <c r="F3" s="38">
        <f t="shared" si="0"/>
        <v>2024</v>
      </c>
      <c r="G3" s="38" t="str">
        <f t="shared" si="1"/>
        <v>February</v>
      </c>
      <c r="H3" s="30">
        <v>140449</v>
      </c>
      <c r="I3" s="30">
        <v>10082</v>
      </c>
      <c r="J3" s="39">
        <v>1815</v>
      </c>
      <c r="K3" s="39">
        <v>951</v>
      </c>
      <c r="L3" s="39">
        <v>565</v>
      </c>
      <c r="M3" s="40">
        <v>133025.86</v>
      </c>
      <c r="N3" s="40">
        <v>3513169.9</v>
      </c>
      <c r="O3" s="33">
        <f t="shared" ref="O3:O66" si="3">ROUND(I3/H3*100,2)</f>
        <v>7.18</v>
      </c>
      <c r="P3" s="34">
        <f t="shared" ref="P2:P65" si="4">M3/J3</f>
        <v>73.2924848484848</v>
      </c>
      <c r="Q3" s="35">
        <f t="shared" si="2"/>
        <v>26.4096762839947</v>
      </c>
      <c r="R3" s="35">
        <f t="shared" ref="R3:R36" si="5">(M3/I3)</f>
        <v>13.1943919857171</v>
      </c>
      <c r="S3" s="33">
        <f t="shared" ref="S3:S40" si="6">ROUND(M3/H3*1000,2)</f>
        <v>947.15</v>
      </c>
      <c r="T3" s="36">
        <f t="shared" ref="T3:T45" si="7">ROUND((N3-M3)/M3*100,2)</f>
        <v>2540.97</v>
      </c>
      <c r="U3" s="36"/>
      <c r="V3" s="36"/>
    </row>
    <row r="4" spans="1:22">
      <c r="A4" s="28">
        <v>45352</v>
      </c>
      <c r="B4" s="29" t="s">
        <v>13</v>
      </c>
      <c r="C4" s="29" t="s">
        <v>14</v>
      </c>
      <c r="D4" s="29" t="s">
        <v>15</v>
      </c>
      <c r="E4" s="29" t="s">
        <v>1571</v>
      </c>
      <c r="F4" s="29">
        <f t="shared" si="0"/>
        <v>2024</v>
      </c>
      <c r="G4" s="29" t="str">
        <f t="shared" si="1"/>
        <v>March</v>
      </c>
      <c r="H4" s="30">
        <v>140958</v>
      </c>
      <c r="I4" s="30">
        <v>7474</v>
      </c>
      <c r="J4" s="31">
        <v>1169</v>
      </c>
      <c r="K4" s="31">
        <v>683</v>
      </c>
      <c r="L4" s="31">
        <v>343</v>
      </c>
      <c r="M4" s="32">
        <v>135765.61</v>
      </c>
      <c r="N4" s="32">
        <v>1051924.88</v>
      </c>
      <c r="O4" s="33">
        <f t="shared" si="3"/>
        <v>5.3</v>
      </c>
      <c r="P4" s="34">
        <f t="shared" si="4"/>
        <v>116.138246364414</v>
      </c>
      <c r="Q4" s="35">
        <f t="shared" si="2"/>
        <v>7.74809526506749</v>
      </c>
      <c r="R4" s="35">
        <f t="shared" si="5"/>
        <v>18.1650535188654</v>
      </c>
      <c r="S4" s="33">
        <f t="shared" si="6"/>
        <v>963.16</v>
      </c>
      <c r="T4" s="36">
        <f t="shared" si="7"/>
        <v>674.81</v>
      </c>
      <c r="U4" s="36"/>
      <c r="V4" s="36"/>
    </row>
    <row r="5" spans="1:22">
      <c r="A5" s="37">
        <v>45383</v>
      </c>
      <c r="B5" s="38" t="s">
        <v>13</v>
      </c>
      <c r="C5" s="38" t="s">
        <v>14</v>
      </c>
      <c r="D5" s="38" t="s">
        <v>15</v>
      </c>
      <c r="E5" s="38" t="s">
        <v>1572</v>
      </c>
      <c r="F5" s="38">
        <f t="shared" si="0"/>
        <v>2024</v>
      </c>
      <c r="G5" s="38" t="str">
        <f t="shared" si="1"/>
        <v>April</v>
      </c>
      <c r="H5" s="30">
        <v>257823</v>
      </c>
      <c r="I5" s="30">
        <v>16841</v>
      </c>
      <c r="J5" s="39">
        <v>3179</v>
      </c>
      <c r="K5" s="39">
        <v>1584</v>
      </c>
      <c r="L5" s="39">
        <v>698</v>
      </c>
      <c r="M5" s="40">
        <v>229715.44</v>
      </c>
      <c r="N5" s="40">
        <v>3850639.56</v>
      </c>
      <c r="O5" s="33">
        <f t="shared" si="3"/>
        <v>6.53</v>
      </c>
      <c r="P5" s="34">
        <f t="shared" si="4"/>
        <v>72.2602831078956</v>
      </c>
      <c r="Q5" s="35">
        <f t="shared" si="2"/>
        <v>16.7626501727529</v>
      </c>
      <c r="R5" s="35">
        <f t="shared" si="5"/>
        <v>13.6402493913663</v>
      </c>
      <c r="S5" s="33">
        <f t="shared" si="6"/>
        <v>890.98</v>
      </c>
      <c r="T5" s="36">
        <f t="shared" si="7"/>
        <v>1576.27</v>
      </c>
      <c r="U5" s="36"/>
      <c r="V5" s="36"/>
    </row>
    <row r="6" spans="1:22">
      <c r="A6" s="28">
        <v>45413</v>
      </c>
      <c r="B6" s="29" t="s">
        <v>13</v>
      </c>
      <c r="C6" s="29" t="s">
        <v>14</v>
      </c>
      <c r="D6" s="29" t="s">
        <v>15</v>
      </c>
      <c r="E6" s="29" t="s">
        <v>1573</v>
      </c>
      <c r="F6" s="29">
        <f t="shared" si="0"/>
        <v>2024</v>
      </c>
      <c r="G6" s="29" t="str">
        <f t="shared" si="1"/>
        <v>May</v>
      </c>
      <c r="H6" s="30">
        <v>98595</v>
      </c>
      <c r="I6" s="30">
        <v>7293</v>
      </c>
      <c r="J6" s="31">
        <v>1340</v>
      </c>
      <c r="K6" s="31">
        <v>854</v>
      </c>
      <c r="L6" s="31">
        <v>368</v>
      </c>
      <c r="M6" s="32">
        <v>52360.96</v>
      </c>
      <c r="N6" s="32">
        <v>1543262.86</v>
      </c>
      <c r="O6" s="33">
        <f t="shared" si="3"/>
        <v>7.4</v>
      </c>
      <c r="P6" s="34">
        <f t="shared" si="4"/>
        <v>39.0753432835821</v>
      </c>
      <c r="Q6" s="35">
        <f t="shared" si="2"/>
        <v>29.4735402101107</v>
      </c>
      <c r="R6" s="35">
        <f t="shared" si="5"/>
        <v>7.17961881255999</v>
      </c>
      <c r="S6" s="33">
        <f t="shared" si="6"/>
        <v>531.07</v>
      </c>
      <c r="T6" s="36">
        <f t="shared" si="7"/>
        <v>2847.35</v>
      </c>
      <c r="U6" s="36"/>
      <c r="V6" s="36"/>
    </row>
    <row r="7" spans="1:22">
      <c r="A7" s="37">
        <v>45444</v>
      </c>
      <c r="B7" s="38" t="s">
        <v>13</v>
      </c>
      <c r="C7" s="38" t="s">
        <v>14</v>
      </c>
      <c r="D7" s="38" t="s">
        <v>15</v>
      </c>
      <c r="E7" s="38" t="s">
        <v>1572</v>
      </c>
      <c r="F7" s="38">
        <f t="shared" si="0"/>
        <v>2024</v>
      </c>
      <c r="G7" s="38" t="str">
        <f t="shared" si="1"/>
        <v>June</v>
      </c>
      <c r="H7" s="30">
        <v>68114</v>
      </c>
      <c r="I7" s="30">
        <v>5377</v>
      </c>
      <c r="J7" s="39">
        <v>909</v>
      </c>
      <c r="K7" s="39">
        <v>505</v>
      </c>
      <c r="L7" s="39">
        <v>222</v>
      </c>
      <c r="M7" s="40">
        <v>27454.35</v>
      </c>
      <c r="N7" s="40">
        <v>1717163.91</v>
      </c>
      <c r="O7" s="33">
        <f t="shared" si="3"/>
        <v>7.89</v>
      </c>
      <c r="P7" s="34">
        <f t="shared" si="4"/>
        <v>30.2028052805281</v>
      </c>
      <c r="Q7" s="35">
        <f t="shared" si="2"/>
        <v>62.5461506100126</v>
      </c>
      <c r="R7" s="35">
        <f t="shared" si="5"/>
        <v>5.10588618188581</v>
      </c>
      <c r="S7" s="33">
        <f t="shared" si="6"/>
        <v>403.06</v>
      </c>
      <c r="T7" s="36">
        <f t="shared" si="7"/>
        <v>6154.62</v>
      </c>
    </row>
    <row r="8" spans="1:22">
      <c r="A8" s="28">
        <v>45474</v>
      </c>
      <c r="B8" s="29" t="s">
        <v>13</v>
      </c>
      <c r="C8" s="29" t="s">
        <v>14</v>
      </c>
      <c r="D8" s="29" t="s">
        <v>15</v>
      </c>
      <c r="E8" s="29" t="s">
        <v>1571</v>
      </c>
      <c r="F8" s="29">
        <f t="shared" si="0"/>
        <v>2024</v>
      </c>
      <c r="G8" s="29" t="str">
        <f t="shared" si="1"/>
        <v>July</v>
      </c>
      <c r="H8" s="30">
        <v>175572</v>
      </c>
      <c r="I8" s="30">
        <v>6855</v>
      </c>
      <c r="J8" s="31">
        <v>1452</v>
      </c>
      <c r="K8" s="31">
        <v>757</v>
      </c>
      <c r="L8" s="31">
        <v>346</v>
      </c>
      <c r="M8" s="32">
        <v>95497.97</v>
      </c>
      <c r="N8" s="32">
        <v>2598807.52</v>
      </c>
      <c r="O8" s="33">
        <f t="shared" si="3"/>
        <v>3.9</v>
      </c>
      <c r="P8" s="34">
        <f t="shared" si="4"/>
        <v>65.7699517906336</v>
      </c>
      <c r="Q8" s="35">
        <f t="shared" si="2"/>
        <v>27.2132226475599</v>
      </c>
      <c r="R8" s="35">
        <f t="shared" si="5"/>
        <v>13.9311407731583</v>
      </c>
      <c r="S8" s="33">
        <f t="shared" si="6"/>
        <v>543.92</v>
      </c>
      <c r="T8" s="36">
        <f t="shared" si="7"/>
        <v>2621.32</v>
      </c>
    </row>
    <row r="9" spans="1:22">
      <c r="A9" s="37">
        <v>45505</v>
      </c>
      <c r="B9" s="38" t="s">
        <v>13</v>
      </c>
      <c r="C9" s="38" t="s">
        <v>14</v>
      </c>
      <c r="D9" s="38" t="s">
        <v>15</v>
      </c>
      <c r="E9" s="38" t="s">
        <v>1572</v>
      </c>
      <c r="F9" s="38">
        <f t="shared" si="0"/>
        <v>2024</v>
      </c>
      <c r="G9" s="38" t="str">
        <f t="shared" si="1"/>
        <v>August</v>
      </c>
      <c r="H9" s="30">
        <v>231966</v>
      </c>
      <c r="I9" s="30">
        <v>9373</v>
      </c>
      <c r="J9" s="39">
        <v>1934</v>
      </c>
      <c r="K9" s="39">
        <v>1247</v>
      </c>
      <c r="L9" s="39">
        <v>553</v>
      </c>
      <c r="M9" s="40">
        <v>175649</v>
      </c>
      <c r="N9" s="40">
        <v>2558956.35</v>
      </c>
      <c r="O9" s="33">
        <f t="shared" si="3"/>
        <v>4.04</v>
      </c>
      <c r="P9" s="34">
        <f t="shared" si="4"/>
        <v>90.8216132368149</v>
      </c>
      <c r="Q9" s="35">
        <f t="shared" si="2"/>
        <v>14.5685790980877</v>
      </c>
      <c r="R9" s="35">
        <f t="shared" si="5"/>
        <v>18.7398911767844</v>
      </c>
      <c r="S9" s="33">
        <f t="shared" si="6"/>
        <v>757.22</v>
      </c>
      <c r="T9" s="36">
        <f t="shared" si="7"/>
        <v>1356.86</v>
      </c>
    </row>
    <row r="10" spans="1:22">
      <c r="A10" s="28">
        <v>45536</v>
      </c>
      <c r="B10" s="29" t="s">
        <v>13</v>
      </c>
      <c r="C10" s="29" t="s">
        <v>14</v>
      </c>
      <c r="D10" s="29" t="s">
        <v>15</v>
      </c>
      <c r="E10" s="29" t="s">
        <v>1571</v>
      </c>
      <c r="F10" s="29">
        <f t="shared" si="0"/>
        <v>2024</v>
      </c>
      <c r="G10" s="29" t="str">
        <f t="shared" si="1"/>
        <v>September</v>
      </c>
      <c r="H10" s="30">
        <v>281339</v>
      </c>
      <c r="I10" s="30">
        <v>12310</v>
      </c>
      <c r="J10" s="31">
        <v>2329</v>
      </c>
      <c r="K10" s="31">
        <v>1319</v>
      </c>
      <c r="L10" s="31">
        <v>734</v>
      </c>
      <c r="M10" s="32">
        <v>126723.85</v>
      </c>
      <c r="N10" s="32">
        <v>4265725.03</v>
      </c>
      <c r="O10" s="33">
        <f t="shared" si="3"/>
        <v>4.38</v>
      </c>
      <c r="P10" s="34">
        <f t="shared" si="4"/>
        <v>54.4112709317304</v>
      </c>
      <c r="Q10" s="35">
        <f t="shared" si="2"/>
        <v>33.6615801208691</v>
      </c>
      <c r="R10" s="35">
        <f t="shared" si="5"/>
        <v>10.2943826157595</v>
      </c>
      <c r="S10" s="33">
        <f t="shared" si="6"/>
        <v>450.43</v>
      </c>
      <c r="T10" s="36">
        <f t="shared" si="7"/>
        <v>3266.16</v>
      </c>
    </row>
    <row r="11" spans="1:22">
      <c r="A11" s="37">
        <v>45566</v>
      </c>
      <c r="B11" s="38" t="s">
        <v>13</v>
      </c>
      <c r="C11" s="38" t="s">
        <v>14</v>
      </c>
      <c r="D11" s="38" t="s">
        <v>15</v>
      </c>
      <c r="E11" s="38" t="s">
        <v>1572</v>
      </c>
      <c r="F11" s="38">
        <f t="shared" si="0"/>
        <v>2024</v>
      </c>
      <c r="G11" s="38" t="str">
        <f t="shared" si="1"/>
        <v>October</v>
      </c>
      <c r="H11" s="30">
        <v>98805</v>
      </c>
      <c r="I11" s="30">
        <v>6952</v>
      </c>
      <c r="J11" s="39">
        <v>1479</v>
      </c>
      <c r="K11" s="39">
        <v>955</v>
      </c>
      <c r="L11" s="39">
        <v>455</v>
      </c>
      <c r="M11" s="40">
        <v>49446.12</v>
      </c>
      <c r="N11" s="40">
        <v>3012430.04</v>
      </c>
      <c r="O11" s="33">
        <f t="shared" si="3"/>
        <v>7.04</v>
      </c>
      <c r="P11" s="34">
        <f t="shared" si="4"/>
        <v>33.4321298174442</v>
      </c>
      <c r="Q11" s="35">
        <f t="shared" si="2"/>
        <v>60.9234868175703</v>
      </c>
      <c r="R11" s="35">
        <f t="shared" si="5"/>
        <v>7.11250287686997</v>
      </c>
      <c r="S11" s="33">
        <f t="shared" si="6"/>
        <v>500.44</v>
      </c>
      <c r="T11" s="36">
        <f t="shared" si="7"/>
        <v>5992.35</v>
      </c>
    </row>
    <row r="12" spans="1:22">
      <c r="A12" s="28">
        <v>45597</v>
      </c>
      <c r="B12" s="29" t="s">
        <v>13</v>
      </c>
      <c r="C12" s="29" t="s">
        <v>14</v>
      </c>
      <c r="D12" s="29" t="s">
        <v>15</v>
      </c>
      <c r="E12" s="29" t="s">
        <v>1573</v>
      </c>
      <c r="F12" s="29">
        <f t="shared" si="0"/>
        <v>2024</v>
      </c>
      <c r="G12" s="29" t="str">
        <f t="shared" si="1"/>
        <v>November</v>
      </c>
      <c r="H12" s="30">
        <v>144093</v>
      </c>
      <c r="I12" s="30">
        <v>11451</v>
      </c>
      <c r="J12" s="31">
        <v>1776</v>
      </c>
      <c r="K12" s="31">
        <v>934</v>
      </c>
      <c r="L12" s="31">
        <v>480</v>
      </c>
      <c r="M12" s="32">
        <v>104177.45</v>
      </c>
      <c r="N12" s="32">
        <v>1723113.84</v>
      </c>
      <c r="O12" s="33">
        <f t="shared" si="3"/>
        <v>7.95</v>
      </c>
      <c r="P12" s="34">
        <f t="shared" si="4"/>
        <v>58.6584740990991</v>
      </c>
      <c r="Q12" s="35">
        <f t="shared" si="2"/>
        <v>16.5401806245018</v>
      </c>
      <c r="R12" s="35">
        <f t="shared" si="5"/>
        <v>9.09767269234128</v>
      </c>
      <c r="S12" s="33">
        <f t="shared" si="6"/>
        <v>722.99</v>
      </c>
      <c r="T12" s="36">
        <f t="shared" si="7"/>
        <v>1554.02</v>
      </c>
    </row>
    <row r="13" spans="1:22">
      <c r="A13" s="37">
        <v>45627</v>
      </c>
      <c r="B13" s="38" t="s">
        <v>13</v>
      </c>
      <c r="C13" s="38" t="s">
        <v>14</v>
      </c>
      <c r="D13" s="38" t="s">
        <v>15</v>
      </c>
      <c r="E13" s="38" t="s">
        <v>1573</v>
      </c>
      <c r="F13" s="38">
        <f t="shared" si="0"/>
        <v>2024</v>
      </c>
      <c r="G13" s="38" t="str">
        <f t="shared" si="1"/>
        <v>December</v>
      </c>
      <c r="H13" s="30">
        <v>158894</v>
      </c>
      <c r="I13" s="30">
        <v>6588</v>
      </c>
      <c r="J13" s="39">
        <v>1470</v>
      </c>
      <c r="K13" s="39">
        <v>867</v>
      </c>
      <c r="L13" s="39">
        <v>405</v>
      </c>
      <c r="M13" s="40">
        <v>102314.09</v>
      </c>
      <c r="N13" s="40">
        <v>3080880.49</v>
      </c>
      <c r="O13" s="33">
        <f t="shared" si="3"/>
        <v>4.15</v>
      </c>
      <c r="P13" s="34">
        <f t="shared" si="4"/>
        <v>69.6014217687075</v>
      </c>
      <c r="Q13" s="35">
        <f t="shared" si="2"/>
        <v>30.1119864331491</v>
      </c>
      <c r="R13" s="35">
        <f t="shared" si="5"/>
        <v>15.5303718882817</v>
      </c>
      <c r="S13" s="33">
        <f t="shared" si="6"/>
        <v>643.91</v>
      </c>
      <c r="T13" s="36">
        <f t="shared" si="7"/>
        <v>2911.2</v>
      </c>
    </row>
    <row r="14" spans="1:22">
      <c r="A14" s="28">
        <v>45304</v>
      </c>
      <c r="B14" s="29" t="s">
        <v>13</v>
      </c>
      <c r="C14" s="29" t="s">
        <v>14</v>
      </c>
      <c r="D14" s="29" t="s">
        <v>15</v>
      </c>
      <c r="E14" s="29" t="s">
        <v>1573</v>
      </c>
      <c r="F14" s="29">
        <f t="shared" si="0"/>
        <v>2024</v>
      </c>
      <c r="G14" s="29" t="str">
        <f t="shared" si="1"/>
        <v>January</v>
      </c>
      <c r="H14" s="30">
        <v>66250</v>
      </c>
      <c r="I14" s="30">
        <v>4921</v>
      </c>
      <c r="J14" s="31">
        <v>871</v>
      </c>
      <c r="K14" s="31">
        <v>392</v>
      </c>
      <c r="L14" s="31">
        <v>210</v>
      </c>
      <c r="M14" s="32">
        <v>51283.71</v>
      </c>
      <c r="N14" s="32">
        <v>1495426.01</v>
      </c>
      <c r="O14" s="33">
        <f t="shared" si="3"/>
        <v>7.43</v>
      </c>
      <c r="P14" s="34">
        <f t="shared" si="4"/>
        <v>58.8791159586682</v>
      </c>
      <c r="Q14" s="35">
        <f t="shared" si="2"/>
        <v>29.1598640191983</v>
      </c>
      <c r="R14" s="35">
        <f t="shared" si="5"/>
        <v>10.4214001219264</v>
      </c>
      <c r="S14" s="33">
        <f t="shared" si="6"/>
        <v>774.09</v>
      </c>
      <c r="T14" s="36">
        <f t="shared" si="7"/>
        <v>2815.99</v>
      </c>
    </row>
    <row r="15" spans="1:22">
      <c r="A15" s="37">
        <v>45305</v>
      </c>
      <c r="B15" s="38" t="s">
        <v>13</v>
      </c>
      <c r="C15" s="38" t="s">
        <v>14</v>
      </c>
      <c r="D15" s="38" t="s">
        <v>15</v>
      </c>
      <c r="E15" s="38" t="s">
        <v>1573</v>
      </c>
      <c r="F15" s="38">
        <f t="shared" si="0"/>
        <v>2024</v>
      </c>
      <c r="G15" s="38" t="str">
        <f t="shared" si="1"/>
        <v>January</v>
      </c>
      <c r="H15" s="30">
        <v>146445</v>
      </c>
      <c r="I15" s="30">
        <v>6570</v>
      </c>
      <c r="J15" s="39">
        <v>1466</v>
      </c>
      <c r="K15" s="39">
        <v>803</v>
      </c>
      <c r="L15" s="39">
        <v>436</v>
      </c>
      <c r="M15" s="40">
        <v>60478.27</v>
      </c>
      <c r="N15" s="40">
        <v>2107164.39</v>
      </c>
      <c r="O15" s="33">
        <f t="shared" si="3"/>
        <v>4.49</v>
      </c>
      <c r="P15" s="34">
        <f t="shared" si="4"/>
        <v>41.2539358799454</v>
      </c>
      <c r="Q15" s="35">
        <f t="shared" si="2"/>
        <v>34.8416776802643</v>
      </c>
      <c r="R15" s="35">
        <f t="shared" si="5"/>
        <v>9.20521613394216</v>
      </c>
      <c r="S15" s="33">
        <f t="shared" si="6"/>
        <v>412.98</v>
      </c>
      <c r="T15" s="36">
        <f t="shared" si="7"/>
        <v>3384.17</v>
      </c>
    </row>
    <row r="16" spans="1:22">
      <c r="A16" s="28">
        <v>45306</v>
      </c>
      <c r="B16" s="29" t="s">
        <v>13</v>
      </c>
      <c r="C16" s="29" t="s">
        <v>14</v>
      </c>
      <c r="D16" s="29" t="s">
        <v>15</v>
      </c>
      <c r="E16" s="29" t="s">
        <v>1572</v>
      </c>
      <c r="F16" s="29">
        <f t="shared" si="0"/>
        <v>2024</v>
      </c>
      <c r="G16" s="29" t="str">
        <f t="shared" si="1"/>
        <v>January</v>
      </c>
      <c r="H16" s="30">
        <v>95097</v>
      </c>
      <c r="I16" s="30">
        <v>7359</v>
      </c>
      <c r="J16" s="31">
        <v>1754</v>
      </c>
      <c r="K16" s="31">
        <v>1030</v>
      </c>
      <c r="L16" s="31">
        <v>512</v>
      </c>
      <c r="M16" s="32">
        <v>47007.7</v>
      </c>
      <c r="N16" s="32">
        <v>2174797.75</v>
      </c>
      <c r="O16" s="33">
        <f t="shared" si="3"/>
        <v>7.74</v>
      </c>
      <c r="P16" s="34">
        <f t="shared" si="4"/>
        <v>26.8002850627138</v>
      </c>
      <c r="Q16" s="35">
        <f t="shared" si="2"/>
        <v>46.2647130151018</v>
      </c>
      <c r="R16" s="35">
        <f t="shared" si="5"/>
        <v>6.387783666259</v>
      </c>
      <c r="S16" s="33">
        <f t="shared" si="6"/>
        <v>494.31</v>
      </c>
      <c r="T16" s="36">
        <f t="shared" si="7"/>
        <v>4526.47</v>
      </c>
    </row>
    <row r="17" spans="1:20">
      <c r="A17" s="37">
        <v>45307</v>
      </c>
      <c r="B17" s="38" t="s">
        <v>13</v>
      </c>
      <c r="C17" s="38" t="s">
        <v>14</v>
      </c>
      <c r="D17" s="38" t="s">
        <v>15</v>
      </c>
      <c r="E17" s="38" t="s">
        <v>1571</v>
      </c>
      <c r="F17" s="38">
        <f t="shared" si="0"/>
        <v>2024</v>
      </c>
      <c r="G17" s="38" t="str">
        <f t="shared" si="1"/>
        <v>January</v>
      </c>
      <c r="H17" s="30">
        <v>234993</v>
      </c>
      <c r="I17" s="30">
        <v>13461</v>
      </c>
      <c r="J17" s="39">
        <v>2316</v>
      </c>
      <c r="K17" s="39">
        <v>1322</v>
      </c>
      <c r="L17" s="39">
        <v>778</v>
      </c>
      <c r="M17" s="40">
        <v>118803.89</v>
      </c>
      <c r="N17" s="40">
        <v>3598637.63</v>
      </c>
      <c r="O17" s="33">
        <f t="shared" si="3"/>
        <v>5.73</v>
      </c>
      <c r="P17" s="34">
        <f t="shared" si="4"/>
        <v>51.2970164075993</v>
      </c>
      <c r="Q17" s="35">
        <f t="shared" si="2"/>
        <v>30.2905707043768</v>
      </c>
      <c r="R17" s="35">
        <f t="shared" si="5"/>
        <v>8.82578485996583</v>
      </c>
      <c r="S17" s="33">
        <f t="shared" si="6"/>
        <v>505.56</v>
      </c>
      <c r="T17" s="36">
        <f t="shared" si="7"/>
        <v>2929.06</v>
      </c>
    </row>
    <row r="18" spans="1:20">
      <c r="A18" s="28">
        <v>45308</v>
      </c>
      <c r="B18" s="29" t="s">
        <v>13</v>
      </c>
      <c r="C18" s="29" t="s">
        <v>14</v>
      </c>
      <c r="D18" s="29" t="s">
        <v>15</v>
      </c>
      <c r="E18" s="29" t="s">
        <v>1573</v>
      </c>
      <c r="F18" s="29">
        <f t="shared" si="0"/>
        <v>2024</v>
      </c>
      <c r="G18" s="29" t="str">
        <f t="shared" si="1"/>
        <v>January</v>
      </c>
      <c r="H18" s="30">
        <v>72601</v>
      </c>
      <c r="I18" s="30">
        <v>4823</v>
      </c>
      <c r="J18" s="31">
        <v>859</v>
      </c>
      <c r="K18" s="31">
        <v>471</v>
      </c>
      <c r="L18" s="31">
        <v>224</v>
      </c>
      <c r="M18" s="32">
        <v>65231.88</v>
      </c>
      <c r="N18" s="32">
        <v>1540858.24</v>
      </c>
      <c r="O18" s="33">
        <f t="shared" si="3"/>
        <v>6.64</v>
      </c>
      <c r="P18" s="34">
        <f t="shared" si="4"/>
        <v>75.9393247962747</v>
      </c>
      <c r="Q18" s="35">
        <f t="shared" si="2"/>
        <v>23.6212453174736</v>
      </c>
      <c r="R18" s="35">
        <f t="shared" si="5"/>
        <v>13.5251669085631</v>
      </c>
      <c r="S18" s="33">
        <f t="shared" si="6"/>
        <v>898.5</v>
      </c>
      <c r="T18" s="36">
        <f t="shared" si="7"/>
        <v>2262.12</v>
      </c>
    </row>
    <row r="19" spans="1:20">
      <c r="A19" s="37">
        <v>45309</v>
      </c>
      <c r="B19" s="38" t="s">
        <v>13</v>
      </c>
      <c r="C19" s="38" t="s">
        <v>14</v>
      </c>
      <c r="D19" s="38" t="s">
        <v>15</v>
      </c>
      <c r="E19" s="38" t="s">
        <v>1571</v>
      </c>
      <c r="F19" s="38">
        <f t="shared" si="0"/>
        <v>2024</v>
      </c>
      <c r="G19" s="38" t="str">
        <f t="shared" si="1"/>
        <v>January</v>
      </c>
      <c r="H19" s="30">
        <v>64854</v>
      </c>
      <c r="I19" s="30">
        <v>3268</v>
      </c>
      <c r="J19" s="39">
        <v>774</v>
      </c>
      <c r="K19" s="39">
        <v>379</v>
      </c>
      <c r="L19" s="39">
        <v>187</v>
      </c>
      <c r="M19" s="40">
        <v>29837.69</v>
      </c>
      <c r="N19" s="40">
        <v>1134934.72</v>
      </c>
      <c r="O19" s="33">
        <f t="shared" si="3"/>
        <v>5.04</v>
      </c>
      <c r="P19" s="34">
        <f t="shared" si="4"/>
        <v>38.5499870801034</v>
      </c>
      <c r="Q19" s="35">
        <f t="shared" si="2"/>
        <v>38.036949911337</v>
      </c>
      <c r="R19" s="35">
        <f t="shared" si="5"/>
        <v>9.13026009791922</v>
      </c>
      <c r="S19" s="33">
        <f t="shared" si="6"/>
        <v>460.07</v>
      </c>
      <c r="T19" s="36">
        <f t="shared" si="7"/>
        <v>3703.69</v>
      </c>
    </row>
    <row r="20" spans="1:20">
      <c r="A20" s="28">
        <v>45310</v>
      </c>
      <c r="B20" s="29" t="s">
        <v>13</v>
      </c>
      <c r="C20" s="29" t="s">
        <v>14</v>
      </c>
      <c r="D20" s="29" t="s">
        <v>15</v>
      </c>
      <c r="E20" s="29" t="s">
        <v>1573</v>
      </c>
      <c r="F20" s="29">
        <f t="shared" si="0"/>
        <v>2024</v>
      </c>
      <c r="G20" s="29" t="str">
        <f t="shared" si="1"/>
        <v>January</v>
      </c>
      <c r="H20" s="30">
        <v>140767</v>
      </c>
      <c r="I20" s="30">
        <v>7435</v>
      </c>
      <c r="J20" s="31">
        <v>1316</v>
      </c>
      <c r="K20" s="31">
        <v>748</v>
      </c>
      <c r="L20" s="31">
        <v>419</v>
      </c>
      <c r="M20" s="32">
        <v>134777.68</v>
      </c>
      <c r="N20" s="32">
        <v>2166219.39</v>
      </c>
      <c r="O20" s="33">
        <f t="shared" si="3"/>
        <v>5.28</v>
      </c>
      <c r="P20" s="34">
        <f t="shared" si="4"/>
        <v>102.414650455927</v>
      </c>
      <c r="Q20" s="35">
        <f t="shared" si="2"/>
        <v>16.0725380493269</v>
      </c>
      <c r="R20" s="35">
        <f t="shared" si="5"/>
        <v>18.127462004035</v>
      </c>
      <c r="S20" s="33">
        <f t="shared" si="6"/>
        <v>957.45</v>
      </c>
      <c r="T20" s="36">
        <f t="shared" si="7"/>
        <v>1507.25</v>
      </c>
    </row>
    <row r="21" spans="1:20">
      <c r="A21" s="37">
        <v>45311</v>
      </c>
      <c r="B21" s="38" t="s">
        <v>13</v>
      </c>
      <c r="C21" s="38" t="s">
        <v>14</v>
      </c>
      <c r="D21" s="38" t="s">
        <v>15</v>
      </c>
      <c r="E21" s="38" t="s">
        <v>1572</v>
      </c>
      <c r="F21" s="38">
        <f t="shared" si="0"/>
        <v>2024</v>
      </c>
      <c r="G21" s="38" t="str">
        <f t="shared" si="1"/>
        <v>January</v>
      </c>
      <c r="H21" s="30">
        <v>102564</v>
      </c>
      <c r="I21" s="30">
        <v>4036</v>
      </c>
      <c r="J21" s="39">
        <v>954</v>
      </c>
      <c r="K21" s="39">
        <v>619</v>
      </c>
      <c r="L21" s="39">
        <v>352</v>
      </c>
      <c r="M21" s="40">
        <v>51435.05</v>
      </c>
      <c r="N21" s="40">
        <v>2739137.65</v>
      </c>
      <c r="O21" s="33">
        <f t="shared" si="3"/>
        <v>3.94</v>
      </c>
      <c r="P21" s="34">
        <f t="shared" si="4"/>
        <v>53.9151467505241</v>
      </c>
      <c r="Q21" s="35">
        <f t="shared" si="2"/>
        <v>53.2543012984337</v>
      </c>
      <c r="R21" s="35">
        <f t="shared" si="5"/>
        <v>12.7440659068385</v>
      </c>
      <c r="S21" s="33">
        <f t="shared" si="6"/>
        <v>501.49</v>
      </c>
      <c r="T21" s="36">
        <f t="shared" si="7"/>
        <v>5225.43</v>
      </c>
    </row>
    <row r="22" spans="1:20">
      <c r="A22" s="28">
        <v>45312</v>
      </c>
      <c r="B22" s="29" t="s">
        <v>13</v>
      </c>
      <c r="C22" s="29" t="s">
        <v>14</v>
      </c>
      <c r="D22" s="29" t="s">
        <v>15</v>
      </c>
      <c r="E22" s="29" t="s">
        <v>1573</v>
      </c>
      <c r="F22" s="29">
        <f t="shared" si="0"/>
        <v>2024</v>
      </c>
      <c r="G22" s="29" t="str">
        <f t="shared" si="1"/>
        <v>January</v>
      </c>
      <c r="H22" s="30">
        <v>99366</v>
      </c>
      <c r="I22" s="30">
        <v>6149</v>
      </c>
      <c r="J22" s="31">
        <v>1025</v>
      </c>
      <c r="K22" s="31">
        <v>585</v>
      </c>
      <c r="L22" s="31">
        <v>331</v>
      </c>
      <c r="M22" s="32">
        <v>39928.53</v>
      </c>
      <c r="N22" s="32">
        <v>2041493.6</v>
      </c>
      <c r="O22" s="33">
        <f t="shared" si="3"/>
        <v>6.19</v>
      </c>
      <c r="P22" s="34">
        <f t="shared" si="4"/>
        <v>38.9546634146341</v>
      </c>
      <c r="Q22" s="35">
        <f t="shared" si="2"/>
        <v>51.1286941943518</v>
      </c>
      <c r="R22" s="35">
        <f t="shared" si="5"/>
        <v>6.4934997560579</v>
      </c>
      <c r="S22" s="33">
        <f t="shared" si="6"/>
        <v>401.83</v>
      </c>
      <c r="T22" s="36">
        <f t="shared" si="7"/>
        <v>5012.87</v>
      </c>
    </row>
    <row r="23" spans="1:20">
      <c r="A23" s="37">
        <v>45313</v>
      </c>
      <c r="B23" s="38" t="s">
        <v>13</v>
      </c>
      <c r="C23" s="38" t="s">
        <v>14</v>
      </c>
      <c r="D23" s="38" t="s">
        <v>15</v>
      </c>
      <c r="E23" s="38" t="s">
        <v>1571</v>
      </c>
      <c r="F23" s="38">
        <f t="shared" si="0"/>
        <v>2024</v>
      </c>
      <c r="G23" s="38" t="str">
        <f t="shared" si="1"/>
        <v>January</v>
      </c>
      <c r="H23" s="30">
        <v>130732</v>
      </c>
      <c r="I23" s="30">
        <v>9877</v>
      </c>
      <c r="J23" s="39">
        <v>1815</v>
      </c>
      <c r="K23" s="39">
        <v>1127</v>
      </c>
      <c r="L23" s="39">
        <v>550</v>
      </c>
      <c r="M23" s="40">
        <v>65158.43</v>
      </c>
      <c r="N23" s="40">
        <v>2707316.61</v>
      </c>
      <c r="O23" s="33">
        <f t="shared" si="3"/>
        <v>7.56</v>
      </c>
      <c r="P23" s="34">
        <f t="shared" si="4"/>
        <v>35.8999614325069</v>
      </c>
      <c r="Q23" s="35">
        <f t="shared" si="2"/>
        <v>41.5497520428285</v>
      </c>
      <c r="R23" s="35">
        <f t="shared" si="5"/>
        <v>6.59698592690088</v>
      </c>
      <c r="S23" s="33">
        <f t="shared" si="6"/>
        <v>498.41</v>
      </c>
      <c r="T23" s="36">
        <f t="shared" si="7"/>
        <v>4054.98</v>
      </c>
    </row>
    <row r="24" spans="1:20">
      <c r="A24" s="28">
        <v>45314</v>
      </c>
      <c r="B24" s="29" t="s">
        <v>13</v>
      </c>
      <c r="C24" s="29" t="s">
        <v>14</v>
      </c>
      <c r="D24" s="29" t="s">
        <v>15</v>
      </c>
      <c r="E24" s="29" t="s">
        <v>1572</v>
      </c>
      <c r="F24" s="29">
        <f t="shared" si="0"/>
        <v>2024</v>
      </c>
      <c r="G24" s="29" t="str">
        <f t="shared" si="1"/>
        <v>January</v>
      </c>
      <c r="H24" s="30">
        <v>60282</v>
      </c>
      <c r="I24" s="30">
        <v>3890</v>
      </c>
      <c r="J24" s="31">
        <v>823</v>
      </c>
      <c r="K24" s="31">
        <v>440</v>
      </c>
      <c r="L24" s="31">
        <v>184</v>
      </c>
      <c r="M24" s="32">
        <v>50617.5</v>
      </c>
      <c r="N24" s="32">
        <v>1332250.53</v>
      </c>
      <c r="O24" s="33">
        <f t="shared" si="3"/>
        <v>6.45</v>
      </c>
      <c r="P24" s="34">
        <f t="shared" si="4"/>
        <v>61.503645200486</v>
      </c>
      <c r="Q24" s="35">
        <f t="shared" si="2"/>
        <v>26.3199591050526</v>
      </c>
      <c r="R24" s="35">
        <f t="shared" si="5"/>
        <v>13.0122107969152</v>
      </c>
      <c r="S24" s="33">
        <f t="shared" si="6"/>
        <v>839.68</v>
      </c>
      <c r="T24" s="36">
        <f t="shared" si="7"/>
        <v>2532</v>
      </c>
    </row>
    <row r="25" spans="1:20">
      <c r="A25" s="37">
        <v>45315</v>
      </c>
      <c r="B25" s="38" t="s">
        <v>13</v>
      </c>
      <c r="C25" s="38" t="s">
        <v>14</v>
      </c>
      <c r="D25" s="38" t="s">
        <v>15</v>
      </c>
      <c r="E25" s="38" t="s">
        <v>1572</v>
      </c>
      <c r="F25" s="38">
        <f t="shared" si="0"/>
        <v>2024</v>
      </c>
      <c r="G25" s="38" t="str">
        <f t="shared" si="1"/>
        <v>January</v>
      </c>
      <c r="H25" s="30">
        <v>227987</v>
      </c>
      <c r="I25" s="30">
        <v>9955</v>
      </c>
      <c r="J25" s="39">
        <v>2151</v>
      </c>
      <c r="K25" s="39">
        <v>1233</v>
      </c>
      <c r="L25" s="39">
        <v>739</v>
      </c>
      <c r="M25" s="40">
        <v>116682</v>
      </c>
      <c r="N25" s="40">
        <v>4318918.7</v>
      </c>
      <c r="O25" s="33">
        <f t="shared" si="3"/>
        <v>4.37</v>
      </c>
      <c r="P25" s="34">
        <f t="shared" si="4"/>
        <v>54.2454672245467</v>
      </c>
      <c r="Q25" s="35">
        <f t="shared" si="2"/>
        <v>37.0144383880976</v>
      </c>
      <c r="R25" s="35">
        <f t="shared" si="5"/>
        <v>11.720944249121</v>
      </c>
      <c r="S25" s="33">
        <f t="shared" si="6"/>
        <v>511.79</v>
      </c>
      <c r="T25" s="36">
        <f t="shared" si="7"/>
        <v>3601.44</v>
      </c>
    </row>
    <row r="26" spans="1:20">
      <c r="A26" s="28">
        <v>45316</v>
      </c>
      <c r="B26" s="29" t="s">
        <v>13</v>
      </c>
      <c r="C26" s="29" t="s">
        <v>14</v>
      </c>
      <c r="D26" s="29" t="s">
        <v>15</v>
      </c>
      <c r="E26" s="29" t="s">
        <v>1572</v>
      </c>
      <c r="F26" s="29">
        <f t="shared" si="0"/>
        <v>2024</v>
      </c>
      <c r="G26" s="29" t="str">
        <f t="shared" si="1"/>
        <v>January</v>
      </c>
      <c r="H26" s="30">
        <v>272168</v>
      </c>
      <c r="I26" s="30">
        <v>16989</v>
      </c>
      <c r="J26" s="31">
        <v>3561</v>
      </c>
      <c r="K26" s="31">
        <v>1864</v>
      </c>
      <c r="L26" s="31">
        <v>959</v>
      </c>
      <c r="M26" s="32">
        <v>166206.38</v>
      </c>
      <c r="N26" s="32">
        <v>4449882.89</v>
      </c>
      <c r="O26" s="33">
        <f t="shared" si="3"/>
        <v>6.24</v>
      </c>
      <c r="P26" s="34">
        <f t="shared" si="4"/>
        <v>46.6740746981185</v>
      </c>
      <c r="Q26" s="35">
        <f t="shared" si="2"/>
        <v>26.773237525539</v>
      </c>
      <c r="R26" s="35">
        <f t="shared" si="5"/>
        <v>9.78317617281771</v>
      </c>
      <c r="S26" s="33">
        <f t="shared" si="6"/>
        <v>610.68</v>
      </c>
      <c r="T26" s="36">
        <f t="shared" si="7"/>
        <v>2577.32</v>
      </c>
    </row>
    <row r="27" spans="1:20">
      <c r="A27" s="37">
        <v>45317</v>
      </c>
      <c r="B27" s="38" t="s">
        <v>13</v>
      </c>
      <c r="C27" s="38" t="s">
        <v>14</v>
      </c>
      <c r="D27" s="38" t="s">
        <v>15</v>
      </c>
      <c r="E27" s="38" t="s">
        <v>1571</v>
      </c>
      <c r="F27" s="38">
        <f t="shared" si="0"/>
        <v>2024</v>
      </c>
      <c r="G27" s="38" t="str">
        <f t="shared" si="1"/>
        <v>January</v>
      </c>
      <c r="H27" s="30">
        <v>264817</v>
      </c>
      <c r="I27" s="30">
        <v>10684</v>
      </c>
      <c r="J27" s="39">
        <v>1820</v>
      </c>
      <c r="K27" s="39">
        <v>1080</v>
      </c>
      <c r="L27" s="39">
        <v>558</v>
      </c>
      <c r="M27" s="40">
        <v>178964.33</v>
      </c>
      <c r="N27" s="40">
        <v>2959111.96</v>
      </c>
      <c r="O27" s="33">
        <f t="shared" si="3"/>
        <v>4.03</v>
      </c>
      <c r="P27" s="34">
        <f t="shared" si="4"/>
        <v>98.3320494505494</v>
      </c>
      <c r="Q27" s="35">
        <f t="shared" si="2"/>
        <v>16.5346466527715</v>
      </c>
      <c r="R27" s="35">
        <f t="shared" si="5"/>
        <v>16.750686072632</v>
      </c>
      <c r="S27" s="33">
        <f t="shared" si="6"/>
        <v>675.8</v>
      </c>
      <c r="T27" s="36">
        <f t="shared" si="7"/>
        <v>1553.46</v>
      </c>
    </row>
    <row r="28" spans="1:20">
      <c r="A28" s="28">
        <v>45318</v>
      </c>
      <c r="B28" s="29" t="s">
        <v>13</v>
      </c>
      <c r="C28" s="29" t="s">
        <v>14</v>
      </c>
      <c r="D28" s="29" t="s">
        <v>15</v>
      </c>
      <c r="E28" s="29" t="s">
        <v>1572</v>
      </c>
      <c r="F28" s="29">
        <f t="shared" si="0"/>
        <v>2024</v>
      </c>
      <c r="G28" s="29" t="str">
        <f t="shared" si="1"/>
        <v>January</v>
      </c>
      <c r="H28" s="30">
        <v>296970</v>
      </c>
      <c r="I28" s="30">
        <v>16468</v>
      </c>
      <c r="J28" s="31">
        <v>3817</v>
      </c>
      <c r="K28" s="31">
        <v>2120</v>
      </c>
      <c r="L28" s="31">
        <v>1220</v>
      </c>
      <c r="M28" s="32">
        <v>288391.33</v>
      </c>
      <c r="N28" s="32">
        <v>6571498.95</v>
      </c>
      <c r="O28" s="33">
        <f t="shared" si="3"/>
        <v>5.55</v>
      </c>
      <c r="P28" s="34">
        <f t="shared" si="4"/>
        <v>75.5544485197799</v>
      </c>
      <c r="Q28" s="35">
        <f t="shared" si="2"/>
        <v>22.786742410044</v>
      </c>
      <c r="R28" s="35">
        <f t="shared" si="5"/>
        <v>17.5122255282973</v>
      </c>
      <c r="S28" s="33">
        <f t="shared" si="6"/>
        <v>971.11</v>
      </c>
      <c r="T28" s="36">
        <f t="shared" si="7"/>
        <v>2178.67</v>
      </c>
    </row>
    <row r="29" spans="1:20">
      <c r="A29" s="37">
        <v>45319</v>
      </c>
      <c r="B29" s="38" t="s">
        <v>13</v>
      </c>
      <c r="C29" s="38" t="s">
        <v>14</v>
      </c>
      <c r="D29" s="38" t="s">
        <v>15</v>
      </c>
      <c r="E29" s="38" t="s">
        <v>1573</v>
      </c>
      <c r="F29" s="38">
        <f t="shared" si="0"/>
        <v>2024</v>
      </c>
      <c r="G29" s="38" t="str">
        <f t="shared" si="1"/>
        <v>January</v>
      </c>
      <c r="H29" s="30">
        <v>280154</v>
      </c>
      <c r="I29" s="30">
        <v>13508</v>
      </c>
      <c r="J29" s="39">
        <v>2070</v>
      </c>
      <c r="K29" s="39">
        <v>1200</v>
      </c>
      <c r="L29" s="39">
        <v>490</v>
      </c>
      <c r="M29" s="40">
        <v>258351.31</v>
      </c>
      <c r="N29" s="40">
        <v>2606824.76</v>
      </c>
      <c r="O29" s="33">
        <f t="shared" si="3"/>
        <v>4.82</v>
      </c>
      <c r="P29" s="34">
        <f t="shared" si="4"/>
        <v>124.807396135266</v>
      </c>
      <c r="Q29" s="35">
        <f t="shared" si="2"/>
        <v>10.0902324048599</v>
      </c>
      <c r="R29" s="35">
        <f t="shared" si="5"/>
        <v>19.1258002665087</v>
      </c>
      <c r="S29" s="33">
        <f t="shared" si="6"/>
        <v>922.18</v>
      </c>
      <c r="T29" s="36">
        <f t="shared" si="7"/>
        <v>909.02</v>
      </c>
    </row>
    <row r="30" spans="1:20">
      <c r="A30" s="28">
        <v>45320</v>
      </c>
      <c r="B30" s="29" t="s">
        <v>13</v>
      </c>
      <c r="C30" s="29" t="s">
        <v>14</v>
      </c>
      <c r="D30" s="29" t="s">
        <v>15</v>
      </c>
      <c r="E30" s="29" t="s">
        <v>1571</v>
      </c>
      <c r="F30" s="29">
        <f t="shared" si="0"/>
        <v>2024</v>
      </c>
      <c r="G30" s="29" t="str">
        <f t="shared" si="1"/>
        <v>January</v>
      </c>
      <c r="H30" s="30">
        <v>246082</v>
      </c>
      <c r="I30" s="30">
        <v>9319</v>
      </c>
      <c r="J30" s="31">
        <v>1989</v>
      </c>
      <c r="K30" s="31">
        <v>960</v>
      </c>
      <c r="L30" s="31">
        <v>442</v>
      </c>
      <c r="M30" s="32">
        <v>195337.39</v>
      </c>
      <c r="N30" s="32">
        <v>2170310.94</v>
      </c>
      <c r="O30" s="33">
        <f t="shared" si="3"/>
        <v>3.79</v>
      </c>
      <c r="P30" s="34">
        <f t="shared" si="4"/>
        <v>98.2088436400201</v>
      </c>
      <c r="Q30" s="35">
        <f t="shared" si="2"/>
        <v>11.1105761165336</v>
      </c>
      <c r="R30" s="35">
        <f t="shared" si="5"/>
        <v>20.961196480309</v>
      </c>
      <c r="S30" s="33">
        <f t="shared" si="6"/>
        <v>793.79</v>
      </c>
      <c r="T30" s="36">
        <f t="shared" si="7"/>
        <v>1011.06</v>
      </c>
    </row>
    <row r="31" spans="1:20">
      <c r="A31" s="37">
        <v>45321</v>
      </c>
      <c r="B31" s="38" t="s">
        <v>13</v>
      </c>
      <c r="C31" s="38" t="s">
        <v>14</v>
      </c>
      <c r="D31" s="38" t="s">
        <v>15</v>
      </c>
      <c r="E31" s="38" t="s">
        <v>1573</v>
      </c>
      <c r="F31" s="38">
        <f t="shared" si="0"/>
        <v>2024</v>
      </c>
      <c r="G31" s="38" t="str">
        <f t="shared" si="1"/>
        <v>January</v>
      </c>
      <c r="H31" s="30">
        <v>162479</v>
      </c>
      <c r="I31" s="30">
        <v>9378</v>
      </c>
      <c r="J31" s="39">
        <v>2210</v>
      </c>
      <c r="K31" s="39">
        <v>1154</v>
      </c>
      <c r="L31" s="39">
        <v>604</v>
      </c>
      <c r="M31" s="40">
        <v>157517.73</v>
      </c>
      <c r="N31" s="40">
        <v>4429720.09</v>
      </c>
      <c r="O31" s="33">
        <f t="shared" si="3"/>
        <v>5.77</v>
      </c>
      <c r="P31" s="34">
        <f t="shared" si="4"/>
        <v>71.2749909502263</v>
      </c>
      <c r="Q31" s="35">
        <f t="shared" si="2"/>
        <v>28.1220411822847</v>
      </c>
      <c r="R31" s="35">
        <f t="shared" si="5"/>
        <v>16.7965163147793</v>
      </c>
      <c r="S31" s="33">
        <f t="shared" si="6"/>
        <v>969.47</v>
      </c>
      <c r="T31" s="36">
        <f t="shared" si="7"/>
        <v>2712.2</v>
      </c>
    </row>
    <row r="32" spans="1:20">
      <c r="A32" s="28">
        <v>45322</v>
      </c>
      <c r="B32" s="29" t="s">
        <v>13</v>
      </c>
      <c r="C32" s="29" t="s">
        <v>14</v>
      </c>
      <c r="D32" s="29" t="s">
        <v>15</v>
      </c>
      <c r="E32" s="29" t="s">
        <v>1572</v>
      </c>
      <c r="F32" s="29">
        <f t="shared" si="0"/>
        <v>2024</v>
      </c>
      <c r="G32" s="29" t="str">
        <f t="shared" si="1"/>
        <v>January</v>
      </c>
      <c r="H32" s="30">
        <v>256182</v>
      </c>
      <c r="I32" s="30">
        <v>17232</v>
      </c>
      <c r="J32" s="31">
        <v>3397</v>
      </c>
      <c r="K32" s="31">
        <v>1850</v>
      </c>
      <c r="L32" s="31">
        <v>871</v>
      </c>
      <c r="M32" s="32">
        <v>212839.26</v>
      </c>
      <c r="N32" s="32">
        <v>3579677.63</v>
      </c>
      <c r="O32" s="33">
        <f t="shared" si="3"/>
        <v>6.73</v>
      </c>
      <c r="P32" s="34">
        <f t="shared" si="4"/>
        <v>62.6550662349132</v>
      </c>
      <c r="Q32" s="35">
        <f t="shared" si="2"/>
        <v>16.818690452128</v>
      </c>
      <c r="R32" s="35">
        <f t="shared" si="5"/>
        <v>12.3513962395543</v>
      </c>
      <c r="S32" s="33">
        <f t="shared" si="6"/>
        <v>830.81</v>
      </c>
      <c r="T32" s="36">
        <f t="shared" si="7"/>
        <v>1581.87</v>
      </c>
    </row>
    <row r="33" spans="1:20">
      <c r="A33" s="37">
        <v>45293</v>
      </c>
      <c r="B33" s="38" t="s">
        <v>13</v>
      </c>
      <c r="C33" s="38" t="s">
        <v>14</v>
      </c>
      <c r="D33" s="38" t="s">
        <v>15</v>
      </c>
      <c r="E33" s="38" t="s">
        <v>1572</v>
      </c>
      <c r="F33" s="38">
        <f t="shared" si="0"/>
        <v>2024</v>
      </c>
      <c r="G33" s="38" t="str">
        <f t="shared" si="1"/>
        <v>January</v>
      </c>
      <c r="H33" s="30">
        <v>269710</v>
      </c>
      <c r="I33" s="30">
        <v>19961</v>
      </c>
      <c r="J33" s="39">
        <v>3100</v>
      </c>
      <c r="K33" s="39">
        <v>1479</v>
      </c>
      <c r="L33" s="39">
        <v>780</v>
      </c>
      <c r="M33" s="40">
        <v>108988.07</v>
      </c>
      <c r="N33" s="40">
        <v>2698691.68</v>
      </c>
      <c r="O33" s="33">
        <f t="shared" si="3"/>
        <v>7.4</v>
      </c>
      <c r="P33" s="34">
        <f t="shared" si="4"/>
        <v>35.1574419354839</v>
      </c>
      <c r="Q33" s="35">
        <f t="shared" si="2"/>
        <v>24.7613493843868</v>
      </c>
      <c r="R33" s="35">
        <f t="shared" si="5"/>
        <v>5.4600505986674</v>
      </c>
      <c r="S33" s="33">
        <f t="shared" si="6"/>
        <v>404.09</v>
      </c>
      <c r="T33" s="36">
        <f t="shared" si="7"/>
        <v>2376.13</v>
      </c>
    </row>
    <row r="34" spans="1:20">
      <c r="A34" s="28">
        <v>45324</v>
      </c>
      <c r="B34" s="29" t="s">
        <v>13</v>
      </c>
      <c r="C34" s="29" t="s">
        <v>14</v>
      </c>
      <c r="D34" s="29" t="s">
        <v>15</v>
      </c>
      <c r="E34" s="29" t="s">
        <v>1571</v>
      </c>
      <c r="F34" s="29">
        <f t="shared" si="0"/>
        <v>2024</v>
      </c>
      <c r="G34" s="29" t="str">
        <f t="shared" si="1"/>
        <v>February</v>
      </c>
      <c r="H34" s="30">
        <v>85354</v>
      </c>
      <c r="I34" s="30">
        <v>4637</v>
      </c>
      <c r="J34" s="31">
        <v>948</v>
      </c>
      <c r="K34" s="31">
        <v>471</v>
      </c>
      <c r="L34" s="31">
        <v>279</v>
      </c>
      <c r="M34" s="32">
        <v>39467.1</v>
      </c>
      <c r="N34" s="32">
        <v>1069477.66</v>
      </c>
      <c r="O34" s="33">
        <f t="shared" si="3"/>
        <v>5.43</v>
      </c>
      <c r="P34" s="34">
        <f t="shared" si="4"/>
        <v>41.6319620253165</v>
      </c>
      <c r="Q34" s="35">
        <f t="shared" si="2"/>
        <v>27.0979539920592</v>
      </c>
      <c r="R34" s="35">
        <f t="shared" si="5"/>
        <v>8.5113435410826</v>
      </c>
      <c r="S34" s="33">
        <f t="shared" si="6"/>
        <v>462.39</v>
      </c>
      <c r="T34" s="36">
        <f t="shared" si="7"/>
        <v>2609.8</v>
      </c>
    </row>
    <row r="35" spans="1:20">
      <c r="A35" s="37">
        <v>45353</v>
      </c>
      <c r="B35" s="38" t="s">
        <v>13</v>
      </c>
      <c r="C35" s="38" t="s">
        <v>14</v>
      </c>
      <c r="D35" s="38" t="s">
        <v>15</v>
      </c>
      <c r="E35" s="38" t="s">
        <v>1571</v>
      </c>
      <c r="F35" s="38">
        <f t="shared" si="0"/>
        <v>2024</v>
      </c>
      <c r="G35" s="38" t="str">
        <f t="shared" si="1"/>
        <v>March</v>
      </c>
      <c r="H35" s="30">
        <v>96853</v>
      </c>
      <c r="I35" s="30">
        <v>3046</v>
      </c>
      <c r="J35" s="39">
        <v>699</v>
      </c>
      <c r="K35" s="39">
        <v>327</v>
      </c>
      <c r="L35" s="39">
        <v>162</v>
      </c>
      <c r="M35" s="40">
        <v>53820.55</v>
      </c>
      <c r="N35" s="40">
        <v>868489.67</v>
      </c>
      <c r="O35" s="33">
        <f t="shared" si="3"/>
        <v>3.14</v>
      </c>
      <c r="P35" s="34">
        <f t="shared" si="4"/>
        <v>76.9964949928469</v>
      </c>
      <c r="Q35" s="35">
        <f t="shared" si="2"/>
        <v>16.1367669040915</v>
      </c>
      <c r="R35" s="35">
        <f t="shared" si="5"/>
        <v>17.6692547603414</v>
      </c>
      <c r="S35" s="33">
        <f t="shared" si="6"/>
        <v>555.69</v>
      </c>
      <c r="T35" s="36">
        <f t="shared" si="7"/>
        <v>1513.68</v>
      </c>
    </row>
    <row r="36" spans="1:20">
      <c r="A36" s="28">
        <v>45384</v>
      </c>
      <c r="B36" s="29" t="s">
        <v>13</v>
      </c>
      <c r="C36" s="29" t="s">
        <v>14</v>
      </c>
      <c r="D36" s="29" t="s">
        <v>15</v>
      </c>
      <c r="E36" s="29" t="s">
        <v>1571</v>
      </c>
      <c r="F36" s="29">
        <f t="shared" si="0"/>
        <v>2024</v>
      </c>
      <c r="G36" s="29" t="str">
        <f t="shared" si="1"/>
        <v>April</v>
      </c>
      <c r="H36" s="30">
        <v>251547</v>
      </c>
      <c r="I36" s="30">
        <v>15827</v>
      </c>
      <c r="J36" s="31">
        <v>2989</v>
      </c>
      <c r="K36" s="31">
        <v>1925</v>
      </c>
      <c r="L36" s="31">
        <v>804</v>
      </c>
      <c r="M36" s="32">
        <v>123902.52</v>
      </c>
      <c r="N36" s="32">
        <v>5851415.05</v>
      </c>
      <c r="O36" s="33">
        <f t="shared" si="3"/>
        <v>6.29</v>
      </c>
      <c r="P36" s="34">
        <f t="shared" si="4"/>
        <v>41.4528337236534</v>
      </c>
      <c r="Q36" s="35">
        <f t="shared" si="2"/>
        <v>47.2259567440598</v>
      </c>
      <c r="R36" s="35">
        <f t="shared" si="5"/>
        <v>7.82855373728439</v>
      </c>
      <c r="S36" s="33">
        <f t="shared" si="6"/>
        <v>492.56</v>
      </c>
      <c r="T36" s="36">
        <f t="shared" si="7"/>
        <v>4622.6</v>
      </c>
    </row>
    <row r="37" spans="1:20">
      <c r="A37" s="37">
        <v>45414</v>
      </c>
      <c r="B37" s="38" t="s">
        <v>13</v>
      </c>
      <c r="C37" s="38" t="s">
        <v>14</v>
      </c>
      <c r="D37" s="38" t="s">
        <v>15</v>
      </c>
      <c r="E37" s="38" t="s">
        <v>1571</v>
      </c>
      <c r="F37" s="38">
        <f t="shared" si="0"/>
        <v>2024</v>
      </c>
      <c r="G37" s="38" t="str">
        <f t="shared" si="1"/>
        <v>May</v>
      </c>
      <c r="H37" s="30">
        <v>189912</v>
      </c>
      <c r="I37" s="30">
        <v>12514</v>
      </c>
      <c r="J37" s="39">
        <v>2711</v>
      </c>
      <c r="K37" s="39">
        <v>1616</v>
      </c>
      <c r="L37" s="39">
        <v>890</v>
      </c>
      <c r="M37" s="40">
        <v>132682.38</v>
      </c>
      <c r="N37" s="40">
        <v>5279956.64</v>
      </c>
      <c r="O37" s="33">
        <f t="shared" si="3"/>
        <v>6.59</v>
      </c>
      <c r="P37" s="34">
        <f t="shared" si="4"/>
        <v>48.9422279601623</v>
      </c>
      <c r="Q37" s="35">
        <f t="shared" si="2"/>
        <v>39.7939548567036</v>
      </c>
      <c r="R37" s="35">
        <f t="shared" ref="R37:R100" si="8">(M37/I37)</f>
        <v>10.6027153587981</v>
      </c>
      <c r="S37" s="33">
        <f t="shared" si="6"/>
        <v>698.65</v>
      </c>
      <c r="T37" s="36">
        <f t="shared" si="7"/>
        <v>3879.4</v>
      </c>
    </row>
    <row r="38" spans="1:20">
      <c r="A38" s="28">
        <v>45445</v>
      </c>
      <c r="B38" s="29" t="s">
        <v>13</v>
      </c>
      <c r="C38" s="29" t="s">
        <v>14</v>
      </c>
      <c r="D38" s="29" t="s">
        <v>15</v>
      </c>
      <c r="E38" s="29" t="s">
        <v>1573</v>
      </c>
      <c r="F38" s="29">
        <f t="shared" si="0"/>
        <v>2024</v>
      </c>
      <c r="G38" s="29" t="str">
        <f t="shared" si="1"/>
        <v>June</v>
      </c>
      <c r="H38" s="30">
        <v>202653</v>
      </c>
      <c r="I38" s="30">
        <v>7479</v>
      </c>
      <c r="J38" s="31">
        <v>1790</v>
      </c>
      <c r="K38" s="31">
        <v>1010</v>
      </c>
      <c r="L38" s="31">
        <v>592</v>
      </c>
      <c r="M38" s="32">
        <v>93098.57</v>
      </c>
      <c r="N38" s="32">
        <v>3172503.59</v>
      </c>
      <c r="O38" s="33">
        <f t="shared" si="3"/>
        <v>3.69</v>
      </c>
      <c r="P38" s="34">
        <f t="shared" si="4"/>
        <v>52.010374301676</v>
      </c>
      <c r="Q38" s="35">
        <f t="shared" si="2"/>
        <v>34.0768240586295</v>
      </c>
      <c r="R38" s="35">
        <f t="shared" si="8"/>
        <v>12.4479970584303</v>
      </c>
      <c r="S38" s="33">
        <f t="shared" si="6"/>
        <v>459.4</v>
      </c>
      <c r="T38" s="36">
        <f t="shared" si="7"/>
        <v>3307.68</v>
      </c>
    </row>
    <row r="39" spans="1:20">
      <c r="A39" s="37">
        <v>45475</v>
      </c>
      <c r="B39" s="38" t="s">
        <v>13</v>
      </c>
      <c r="C39" s="38" t="s">
        <v>14</v>
      </c>
      <c r="D39" s="38" t="s">
        <v>15</v>
      </c>
      <c r="E39" s="38" t="s">
        <v>1571</v>
      </c>
      <c r="F39" s="38">
        <f t="shared" si="0"/>
        <v>2024</v>
      </c>
      <c r="G39" s="38" t="str">
        <f t="shared" si="1"/>
        <v>July</v>
      </c>
      <c r="H39" s="30">
        <v>72831</v>
      </c>
      <c r="I39" s="30">
        <v>5085</v>
      </c>
      <c r="J39" s="39">
        <v>1192</v>
      </c>
      <c r="K39" s="39">
        <v>648</v>
      </c>
      <c r="L39" s="39">
        <v>367</v>
      </c>
      <c r="M39" s="40">
        <v>65890.34</v>
      </c>
      <c r="N39" s="40">
        <v>2806226.91</v>
      </c>
      <c r="O39" s="33">
        <f t="shared" si="3"/>
        <v>6.98</v>
      </c>
      <c r="P39" s="34">
        <f t="shared" si="4"/>
        <v>55.2771308724832</v>
      </c>
      <c r="Q39" s="35">
        <f t="shared" si="2"/>
        <v>42.58935239976</v>
      </c>
      <c r="R39" s="35">
        <f t="shared" si="8"/>
        <v>12.9577856440511</v>
      </c>
      <c r="S39" s="33">
        <f t="shared" si="6"/>
        <v>904.7</v>
      </c>
      <c r="T39" s="36">
        <f t="shared" si="7"/>
        <v>4158.94</v>
      </c>
    </row>
    <row r="40" spans="1:20">
      <c r="A40" s="28">
        <v>45506</v>
      </c>
      <c r="B40" s="29" t="s">
        <v>13</v>
      </c>
      <c r="C40" s="29" t="s">
        <v>14</v>
      </c>
      <c r="D40" s="29" t="s">
        <v>15</v>
      </c>
      <c r="E40" s="29" t="s">
        <v>1573</v>
      </c>
      <c r="F40" s="29">
        <f t="shared" si="0"/>
        <v>2024</v>
      </c>
      <c r="G40" s="29" t="str">
        <f t="shared" si="1"/>
        <v>August</v>
      </c>
      <c r="H40" s="30">
        <v>215776</v>
      </c>
      <c r="I40" s="30">
        <v>15117</v>
      </c>
      <c r="J40" s="31">
        <v>2292</v>
      </c>
      <c r="K40" s="31">
        <v>1195</v>
      </c>
      <c r="L40" s="31">
        <v>520</v>
      </c>
      <c r="M40" s="32">
        <v>203852.45</v>
      </c>
      <c r="N40" s="32">
        <v>3424734.79</v>
      </c>
      <c r="O40" s="33">
        <f t="shared" si="3"/>
        <v>7.01</v>
      </c>
      <c r="P40" s="34">
        <f t="shared" si="4"/>
        <v>88.9408595113438</v>
      </c>
      <c r="Q40" s="35">
        <f t="shared" si="2"/>
        <v>16.8000668620858</v>
      </c>
      <c r="R40" s="35">
        <f t="shared" si="8"/>
        <v>13.4849804855461</v>
      </c>
      <c r="S40" s="33">
        <f t="shared" si="6"/>
        <v>944.74</v>
      </c>
      <c r="T40" s="36">
        <f t="shared" si="7"/>
        <v>1580.01</v>
      </c>
    </row>
    <row r="41" spans="1:20">
      <c r="A41" s="37">
        <v>45537</v>
      </c>
      <c r="B41" s="38" t="s">
        <v>13</v>
      </c>
      <c r="C41" s="38" t="s">
        <v>14</v>
      </c>
      <c r="D41" s="38" t="s">
        <v>15</v>
      </c>
      <c r="E41" s="38" t="s">
        <v>1571</v>
      </c>
      <c r="F41" s="38">
        <f t="shared" si="0"/>
        <v>2024</v>
      </c>
      <c r="G41" s="38" t="str">
        <f t="shared" si="1"/>
        <v>September</v>
      </c>
      <c r="H41" s="30">
        <v>72443</v>
      </c>
      <c r="I41" s="30">
        <v>3074</v>
      </c>
      <c r="J41" s="39">
        <v>557</v>
      </c>
      <c r="K41" s="39">
        <v>275</v>
      </c>
      <c r="L41" s="39">
        <v>119</v>
      </c>
      <c r="M41" s="40">
        <v>67537.92</v>
      </c>
      <c r="N41" s="40">
        <v>364638.44</v>
      </c>
      <c r="O41" s="33">
        <f t="shared" si="3"/>
        <v>4.24</v>
      </c>
      <c r="P41" s="34">
        <f t="shared" si="4"/>
        <v>121.252998204668</v>
      </c>
      <c r="Q41" s="35">
        <f t="shared" si="2"/>
        <v>5.39901791467667</v>
      </c>
      <c r="R41" s="35">
        <f t="shared" si="8"/>
        <v>21.9706961613533</v>
      </c>
      <c r="S41" s="33">
        <f t="shared" ref="S41:S104" si="9">ROUND(M41/H41*1000,2)</f>
        <v>932.29</v>
      </c>
      <c r="T41" s="36">
        <f t="shared" si="7"/>
        <v>439.9</v>
      </c>
    </row>
    <row r="42" spans="1:20">
      <c r="A42" s="28">
        <v>45567</v>
      </c>
      <c r="B42" s="29" t="s">
        <v>13</v>
      </c>
      <c r="C42" s="29" t="s">
        <v>14</v>
      </c>
      <c r="D42" s="29" t="s">
        <v>15</v>
      </c>
      <c r="E42" s="29" t="s">
        <v>1573</v>
      </c>
      <c r="F42" s="29">
        <f t="shared" si="0"/>
        <v>2024</v>
      </c>
      <c r="G42" s="29" t="str">
        <f t="shared" si="1"/>
        <v>October</v>
      </c>
      <c r="H42" s="30">
        <v>155169</v>
      </c>
      <c r="I42" s="30">
        <v>10534</v>
      </c>
      <c r="J42" s="31">
        <v>1826</v>
      </c>
      <c r="K42" s="31">
        <v>964</v>
      </c>
      <c r="L42" s="31">
        <v>488</v>
      </c>
      <c r="M42" s="32">
        <v>65548.51</v>
      </c>
      <c r="N42" s="32">
        <v>2007650.15</v>
      </c>
      <c r="O42" s="33">
        <f t="shared" si="3"/>
        <v>6.79</v>
      </c>
      <c r="P42" s="34">
        <f t="shared" si="4"/>
        <v>35.8973220153341</v>
      </c>
      <c r="Q42" s="35">
        <f t="shared" si="2"/>
        <v>30.6284635608041</v>
      </c>
      <c r="R42" s="35">
        <f t="shared" si="8"/>
        <v>6.22256597683691</v>
      </c>
      <c r="S42" s="33">
        <f t="shared" si="9"/>
        <v>422.43</v>
      </c>
      <c r="T42" s="36">
        <f t="shared" si="7"/>
        <v>2962.85</v>
      </c>
    </row>
    <row r="43" spans="1:20">
      <c r="A43" s="37">
        <v>45598</v>
      </c>
      <c r="B43" s="38" t="s">
        <v>13</v>
      </c>
      <c r="C43" s="38" t="s">
        <v>14</v>
      </c>
      <c r="D43" s="38" t="s">
        <v>15</v>
      </c>
      <c r="E43" s="38" t="s">
        <v>1571</v>
      </c>
      <c r="F43" s="38">
        <f t="shared" si="0"/>
        <v>2024</v>
      </c>
      <c r="G43" s="38" t="str">
        <f t="shared" si="1"/>
        <v>November</v>
      </c>
      <c r="H43" s="30">
        <v>145600</v>
      </c>
      <c r="I43" s="30">
        <v>10817</v>
      </c>
      <c r="J43" s="39">
        <v>2620</v>
      </c>
      <c r="K43" s="39">
        <v>1253</v>
      </c>
      <c r="L43" s="39">
        <v>628</v>
      </c>
      <c r="M43" s="40">
        <v>143250</v>
      </c>
      <c r="N43" s="40">
        <v>3766197.11</v>
      </c>
      <c r="O43" s="33">
        <f t="shared" si="3"/>
        <v>7.43</v>
      </c>
      <c r="P43" s="34">
        <f t="shared" si="4"/>
        <v>54.675572519084</v>
      </c>
      <c r="Q43" s="35">
        <f t="shared" si="2"/>
        <v>26.2910793019197</v>
      </c>
      <c r="R43" s="35">
        <f t="shared" si="8"/>
        <v>13.2430433576777</v>
      </c>
      <c r="S43" s="33">
        <f t="shared" si="9"/>
        <v>983.86</v>
      </c>
      <c r="T43" s="36">
        <f t="shared" si="7"/>
        <v>2529.11</v>
      </c>
    </row>
    <row r="44" spans="1:20">
      <c r="A44" s="28">
        <v>45628</v>
      </c>
      <c r="B44" s="29" t="s">
        <v>13</v>
      </c>
      <c r="C44" s="29" t="s">
        <v>14</v>
      </c>
      <c r="D44" s="29" t="s">
        <v>15</v>
      </c>
      <c r="E44" s="29" t="s">
        <v>1572</v>
      </c>
      <c r="F44" s="29">
        <f t="shared" si="0"/>
        <v>2024</v>
      </c>
      <c r="G44" s="29" t="str">
        <f t="shared" si="1"/>
        <v>December</v>
      </c>
      <c r="H44" s="30">
        <v>235449</v>
      </c>
      <c r="I44" s="30">
        <v>17901</v>
      </c>
      <c r="J44" s="31">
        <v>3572</v>
      </c>
      <c r="K44" s="31">
        <v>1970</v>
      </c>
      <c r="L44" s="31">
        <v>869</v>
      </c>
      <c r="M44" s="32">
        <v>156170.05</v>
      </c>
      <c r="N44" s="32">
        <v>3779197.39</v>
      </c>
      <c r="O44" s="33">
        <f t="shared" si="3"/>
        <v>7.6</v>
      </c>
      <c r="P44" s="34">
        <f t="shared" si="4"/>
        <v>43.7206187010078</v>
      </c>
      <c r="Q44" s="35">
        <f t="shared" si="2"/>
        <v>24.1992455659712</v>
      </c>
      <c r="R44" s="35">
        <f t="shared" si="8"/>
        <v>8.72409641919446</v>
      </c>
      <c r="S44" s="33">
        <f t="shared" si="9"/>
        <v>663.29</v>
      </c>
      <c r="T44" s="36">
        <f t="shared" si="7"/>
        <v>2319.92</v>
      </c>
    </row>
    <row r="45" spans="1:20">
      <c r="A45" s="37">
        <v>45335</v>
      </c>
      <c r="B45" s="38" t="s">
        <v>13</v>
      </c>
      <c r="C45" s="38" t="s">
        <v>14</v>
      </c>
      <c r="D45" s="38" t="s">
        <v>15</v>
      </c>
      <c r="E45" s="38" t="s">
        <v>1573</v>
      </c>
      <c r="F45" s="38">
        <f t="shared" si="0"/>
        <v>2024</v>
      </c>
      <c r="G45" s="38" t="str">
        <f t="shared" si="1"/>
        <v>February</v>
      </c>
      <c r="H45" s="30">
        <v>92082</v>
      </c>
      <c r="I45" s="30">
        <v>5873</v>
      </c>
      <c r="J45" s="39">
        <v>1376</v>
      </c>
      <c r="K45" s="39">
        <v>740</v>
      </c>
      <c r="L45" s="39">
        <v>425</v>
      </c>
      <c r="M45" s="40">
        <v>72924.97</v>
      </c>
      <c r="N45" s="40">
        <v>2747864.33</v>
      </c>
      <c r="O45" s="33">
        <f t="shared" si="3"/>
        <v>6.38</v>
      </c>
      <c r="P45" s="34">
        <f t="shared" si="4"/>
        <v>52.9977979651163</v>
      </c>
      <c r="Q45" s="35">
        <f t="shared" si="2"/>
        <v>37.6807056622718</v>
      </c>
      <c r="R45" s="35">
        <f t="shared" si="8"/>
        <v>12.4169879107781</v>
      </c>
      <c r="S45" s="33">
        <f t="shared" si="9"/>
        <v>791.96</v>
      </c>
      <c r="T45" s="36">
        <f t="shared" si="7"/>
        <v>3668.07</v>
      </c>
    </row>
    <row r="46" spans="1:20">
      <c r="A46" s="28">
        <v>45336</v>
      </c>
      <c r="B46" s="29" t="s">
        <v>13</v>
      </c>
      <c r="C46" s="29" t="s">
        <v>14</v>
      </c>
      <c r="D46" s="29" t="s">
        <v>15</v>
      </c>
      <c r="E46" s="29" t="s">
        <v>1572</v>
      </c>
      <c r="F46" s="29">
        <f t="shared" si="0"/>
        <v>2024</v>
      </c>
      <c r="G46" s="29" t="str">
        <f t="shared" si="1"/>
        <v>February</v>
      </c>
      <c r="H46" s="30">
        <v>69767</v>
      </c>
      <c r="I46" s="30">
        <v>4894</v>
      </c>
      <c r="J46" s="31">
        <v>1047</v>
      </c>
      <c r="K46" s="31">
        <v>585</v>
      </c>
      <c r="L46" s="31">
        <v>275</v>
      </c>
      <c r="M46" s="32">
        <v>47791.5</v>
      </c>
      <c r="N46" s="32">
        <v>2145764.47</v>
      </c>
      <c r="O46" s="33">
        <f t="shared" si="3"/>
        <v>7.01</v>
      </c>
      <c r="P46" s="34">
        <f t="shared" si="4"/>
        <v>45.6461318051576</v>
      </c>
      <c r="Q46" s="35">
        <f t="shared" si="2"/>
        <v>44.8984541184102</v>
      </c>
      <c r="R46" s="35">
        <f t="shared" si="8"/>
        <v>9.76532488761749</v>
      </c>
      <c r="S46" s="33">
        <f t="shared" si="9"/>
        <v>685.02</v>
      </c>
      <c r="T46" s="36">
        <f t="shared" ref="T46:T109" si="10">ROUND((N46-M46)/M46*100,2)</f>
        <v>4389.85</v>
      </c>
    </row>
    <row r="47" spans="1:20">
      <c r="A47" s="37">
        <v>45337</v>
      </c>
      <c r="B47" s="38" t="s">
        <v>13</v>
      </c>
      <c r="C47" s="38" t="s">
        <v>14</v>
      </c>
      <c r="D47" s="38" t="s">
        <v>15</v>
      </c>
      <c r="E47" s="38" t="s">
        <v>1571</v>
      </c>
      <c r="F47" s="38">
        <f t="shared" si="0"/>
        <v>2024</v>
      </c>
      <c r="G47" s="38" t="str">
        <f t="shared" si="1"/>
        <v>February</v>
      </c>
      <c r="H47" s="30">
        <v>131440</v>
      </c>
      <c r="I47" s="30">
        <v>4550</v>
      </c>
      <c r="J47" s="39">
        <v>1063</v>
      </c>
      <c r="K47" s="39">
        <v>659</v>
      </c>
      <c r="L47" s="39">
        <v>286</v>
      </c>
      <c r="M47" s="40">
        <v>119990.61</v>
      </c>
      <c r="N47" s="40">
        <v>1990223.55</v>
      </c>
      <c r="O47" s="33">
        <f t="shared" si="3"/>
        <v>3.46</v>
      </c>
      <c r="P47" s="34">
        <f t="shared" si="4"/>
        <v>112.879219190969</v>
      </c>
      <c r="Q47" s="35">
        <f t="shared" si="2"/>
        <v>16.5864941431667</v>
      </c>
      <c r="R47" s="35">
        <f t="shared" si="8"/>
        <v>26.3715626373626</v>
      </c>
      <c r="S47" s="33">
        <f t="shared" si="9"/>
        <v>912.89</v>
      </c>
      <c r="T47" s="36">
        <f t="shared" si="10"/>
        <v>1558.65</v>
      </c>
    </row>
    <row r="48" spans="1:20">
      <c r="A48" s="28">
        <v>45338</v>
      </c>
      <c r="B48" s="29" t="s">
        <v>13</v>
      </c>
      <c r="C48" s="29" t="s">
        <v>14</v>
      </c>
      <c r="D48" s="29" t="s">
        <v>15</v>
      </c>
      <c r="E48" s="29" t="s">
        <v>1573</v>
      </c>
      <c r="F48" s="29">
        <f t="shared" si="0"/>
        <v>2024</v>
      </c>
      <c r="G48" s="29" t="str">
        <f t="shared" si="1"/>
        <v>February</v>
      </c>
      <c r="H48" s="30">
        <v>281475</v>
      </c>
      <c r="I48" s="30">
        <v>14540</v>
      </c>
      <c r="J48" s="31">
        <v>2460</v>
      </c>
      <c r="K48" s="31">
        <v>1239</v>
      </c>
      <c r="L48" s="31">
        <v>519</v>
      </c>
      <c r="M48" s="32">
        <v>112654.64</v>
      </c>
      <c r="N48" s="32">
        <v>3920124.36</v>
      </c>
      <c r="O48" s="33">
        <f t="shared" si="3"/>
        <v>5.17</v>
      </c>
      <c r="P48" s="34">
        <f t="shared" si="4"/>
        <v>45.7945691056911</v>
      </c>
      <c r="Q48" s="35">
        <f t="shared" si="2"/>
        <v>34.7977176972027</v>
      </c>
      <c r="R48" s="35">
        <f t="shared" si="8"/>
        <v>7.74791196698762</v>
      </c>
      <c r="S48" s="33">
        <f t="shared" si="9"/>
        <v>400.23</v>
      </c>
      <c r="T48" s="36">
        <f t="shared" si="10"/>
        <v>3379.77</v>
      </c>
    </row>
    <row r="49" spans="1:20">
      <c r="A49" s="37">
        <v>45339</v>
      </c>
      <c r="B49" s="38" t="s">
        <v>13</v>
      </c>
      <c r="C49" s="38" t="s">
        <v>14</v>
      </c>
      <c r="D49" s="38" t="s">
        <v>15</v>
      </c>
      <c r="E49" s="38" t="s">
        <v>1571</v>
      </c>
      <c r="F49" s="38">
        <f t="shared" si="0"/>
        <v>2024</v>
      </c>
      <c r="G49" s="38" t="str">
        <f t="shared" si="1"/>
        <v>February</v>
      </c>
      <c r="H49" s="30">
        <v>138904</v>
      </c>
      <c r="I49" s="30">
        <v>6550</v>
      </c>
      <c r="J49" s="39">
        <v>1548</v>
      </c>
      <c r="K49" s="39">
        <v>797</v>
      </c>
      <c r="L49" s="39">
        <v>435</v>
      </c>
      <c r="M49" s="40">
        <v>128170.76</v>
      </c>
      <c r="N49" s="40">
        <v>3043168.56</v>
      </c>
      <c r="O49" s="33">
        <f t="shared" si="3"/>
        <v>4.72</v>
      </c>
      <c r="P49" s="34">
        <f t="shared" si="4"/>
        <v>82.7976485788114</v>
      </c>
      <c r="Q49" s="35">
        <f t="shared" si="2"/>
        <v>23.7430796228407</v>
      </c>
      <c r="R49" s="35">
        <f t="shared" si="8"/>
        <v>19.5680549618321</v>
      </c>
      <c r="S49" s="33">
        <f t="shared" si="9"/>
        <v>922.73</v>
      </c>
      <c r="T49" s="36">
        <f t="shared" si="10"/>
        <v>2274.31</v>
      </c>
    </row>
    <row r="50" spans="1:20">
      <c r="A50" s="28">
        <v>45340</v>
      </c>
      <c r="B50" s="29" t="s">
        <v>13</v>
      </c>
      <c r="C50" s="29" t="s">
        <v>14</v>
      </c>
      <c r="D50" s="29" t="s">
        <v>15</v>
      </c>
      <c r="E50" s="29" t="s">
        <v>1573</v>
      </c>
      <c r="F50" s="29">
        <f t="shared" si="0"/>
        <v>2024</v>
      </c>
      <c r="G50" s="29" t="str">
        <f t="shared" si="1"/>
        <v>February</v>
      </c>
      <c r="H50" s="30">
        <v>294254</v>
      </c>
      <c r="I50" s="30">
        <v>13308</v>
      </c>
      <c r="J50" s="31">
        <v>3157</v>
      </c>
      <c r="K50" s="31">
        <v>1809</v>
      </c>
      <c r="L50" s="31">
        <v>752</v>
      </c>
      <c r="M50" s="32">
        <v>251733.22</v>
      </c>
      <c r="N50" s="32">
        <v>4143706.82</v>
      </c>
      <c r="O50" s="33">
        <f t="shared" si="3"/>
        <v>4.52</v>
      </c>
      <c r="P50" s="34">
        <f t="shared" si="4"/>
        <v>79.7381121317707</v>
      </c>
      <c r="Q50" s="35">
        <f t="shared" si="2"/>
        <v>16.4607071724582</v>
      </c>
      <c r="R50" s="35">
        <f t="shared" si="8"/>
        <v>18.9159317703637</v>
      </c>
      <c r="S50" s="33">
        <f t="shared" si="9"/>
        <v>855.5</v>
      </c>
      <c r="T50" s="36">
        <f t="shared" si="10"/>
        <v>1546.07</v>
      </c>
    </row>
    <row r="51" spans="1:20">
      <c r="A51" s="37">
        <v>45341</v>
      </c>
      <c r="B51" s="38" t="s">
        <v>13</v>
      </c>
      <c r="C51" s="38" t="s">
        <v>14</v>
      </c>
      <c r="D51" s="38" t="s">
        <v>15</v>
      </c>
      <c r="E51" s="38" t="s">
        <v>1571</v>
      </c>
      <c r="F51" s="38">
        <f t="shared" si="0"/>
        <v>2024</v>
      </c>
      <c r="G51" s="38" t="str">
        <f t="shared" si="1"/>
        <v>February</v>
      </c>
      <c r="H51" s="30">
        <v>176880</v>
      </c>
      <c r="I51" s="30">
        <v>12551</v>
      </c>
      <c r="J51" s="39">
        <v>2597</v>
      </c>
      <c r="K51" s="39">
        <v>1551</v>
      </c>
      <c r="L51" s="39">
        <v>905</v>
      </c>
      <c r="M51" s="40">
        <v>165229.22</v>
      </c>
      <c r="N51" s="40">
        <v>3242544.96</v>
      </c>
      <c r="O51" s="33">
        <f t="shared" si="3"/>
        <v>7.1</v>
      </c>
      <c r="P51" s="34">
        <f t="shared" si="4"/>
        <v>63.6231112822488</v>
      </c>
      <c r="Q51" s="35">
        <f t="shared" si="2"/>
        <v>19.624525008349</v>
      </c>
      <c r="R51" s="35">
        <f t="shared" si="8"/>
        <v>13.164625926221</v>
      </c>
      <c r="S51" s="33">
        <f t="shared" si="9"/>
        <v>934.13</v>
      </c>
      <c r="T51" s="36">
        <f t="shared" si="10"/>
        <v>1862.45</v>
      </c>
    </row>
    <row r="52" spans="1:20">
      <c r="A52" s="28">
        <v>45342</v>
      </c>
      <c r="B52" s="29" t="s">
        <v>13</v>
      </c>
      <c r="C52" s="29" t="s">
        <v>14</v>
      </c>
      <c r="D52" s="29" t="s">
        <v>15</v>
      </c>
      <c r="E52" s="29" t="s">
        <v>1573</v>
      </c>
      <c r="F52" s="29">
        <f t="shared" si="0"/>
        <v>2024</v>
      </c>
      <c r="G52" s="29" t="str">
        <f t="shared" si="1"/>
        <v>February</v>
      </c>
      <c r="H52" s="30">
        <v>135158</v>
      </c>
      <c r="I52" s="30">
        <v>10392</v>
      </c>
      <c r="J52" s="31">
        <v>2062</v>
      </c>
      <c r="K52" s="31">
        <v>977</v>
      </c>
      <c r="L52" s="31">
        <v>480</v>
      </c>
      <c r="M52" s="32">
        <v>101398.32</v>
      </c>
      <c r="N52" s="32">
        <v>1965140.43</v>
      </c>
      <c r="O52" s="33">
        <f t="shared" si="3"/>
        <v>7.69</v>
      </c>
      <c r="P52" s="34">
        <f t="shared" si="4"/>
        <v>49.1747429679922</v>
      </c>
      <c r="Q52" s="35">
        <f t="shared" si="2"/>
        <v>19.3804042315494</v>
      </c>
      <c r="R52" s="35">
        <f t="shared" si="8"/>
        <v>9.7573441108545</v>
      </c>
      <c r="S52" s="33">
        <f t="shared" si="9"/>
        <v>750.22</v>
      </c>
      <c r="T52" s="36">
        <f t="shared" si="10"/>
        <v>1838.04</v>
      </c>
    </row>
    <row r="53" spans="1:20">
      <c r="A53" s="37">
        <v>45343</v>
      </c>
      <c r="B53" s="38" t="s">
        <v>13</v>
      </c>
      <c r="C53" s="38" t="s">
        <v>14</v>
      </c>
      <c r="D53" s="38" t="s">
        <v>15</v>
      </c>
      <c r="E53" s="38" t="s">
        <v>1572</v>
      </c>
      <c r="F53" s="38">
        <f t="shared" si="0"/>
        <v>2024</v>
      </c>
      <c r="G53" s="38" t="str">
        <f t="shared" si="1"/>
        <v>February</v>
      </c>
      <c r="H53" s="30">
        <v>236532</v>
      </c>
      <c r="I53" s="30">
        <v>17823</v>
      </c>
      <c r="J53" s="39">
        <v>2773</v>
      </c>
      <c r="K53" s="39">
        <v>1664</v>
      </c>
      <c r="L53" s="39">
        <v>752</v>
      </c>
      <c r="M53" s="40">
        <v>209088.36</v>
      </c>
      <c r="N53" s="40">
        <v>2447521.69</v>
      </c>
      <c r="O53" s="33">
        <f t="shared" si="3"/>
        <v>7.54</v>
      </c>
      <c r="P53" s="34">
        <f t="shared" si="4"/>
        <v>75.4015001803101</v>
      </c>
      <c r="Q53" s="35">
        <f t="shared" si="2"/>
        <v>11.7056812249137</v>
      </c>
      <c r="R53" s="35">
        <f t="shared" si="8"/>
        <v>11.7313785557987</v>
      </c>
      <c r="S53" s="33">
        <f t="shared" si="9"/>
        <v>883.97</v>
      </c>
      <c r="T53" s="36">
        <f t="shared" si="10"/>
        <v>1070.57</v>
      </c>
    </row>
    <row r="54" spans="1:20">
      <c r="A54" s="28">
        <v>45344</v>
      </c>
      <c r="B54" s="29" t="s">
        <v>13</v>
      </c>
      <c r="C54" s="29" t="s">
        <v>14</v>
      </c>
      <c r="D54" s="29" t="s">
        <v>15</v>
      </c>
      <c r="E54" s="29" t="s">
        <v>1571</v>
      </c>
      <c r="F54" s="29">
        <f t="shared" si="0"/>
        <v>2024</v>
      </c>
      <c r="G54" s="29" t="str">
        <f t="shared" si="1"/>
        <v>February</v>
      </c>
      <c r="H54" s="30">
        <v>279307</v>
      </c>
      <c r="I54" s="30">
        <v>12903</v>
      </c>
      <c r="J54" s="31">
        <v>2336</v>
      </c>
      <c r="K54" s="31">
        <v>1311</v>
      </c>
      <c r="L54" s="31">
        <v>548</v>
      </c>
      <c r="M54" s="32">
        <v>265211.11</v>
      </c>
      <c r="N54" s="32">
        <v>3931415.84</v>
      </c>
      <c r="O54" s="33">
        <f t="shared" si="3"/>
        <v>4.62</v>
      </c>
      <c r="P54" s="34">
        <f t="shared" si="4"/>
        <v>113.532153253425</v>
      </c>
      <c r="Q54" s="35">
        <f t="shared" si="2"/>
        <v>14.8237222792062</v>
      </c>
      <c r="R54" s="35">
        <f t="shared" si="8"/>
        <v>20.5542207238627</v>
      </c>
      <c r="S54" s="33">
        <f t="shared" si="9"/>
        <v>949.53</v>
      </c>
      <c r="T54" s="36">
        <f t="shared" si="10"/>
        <v>1382.37</v>
      </c>
    </row>
    <row r="55" spans="1:20">
      <c r="A55" s="37">
        <v>45345</v>
      </c>
      <c r="B55" s="38" t="s">
        <v>13</v>
      </c>
      <c r="C55" s="38" t="s">
        <v>14</v>
      </c>
      <c r="D55" s="38" t="s">
        <v>15</v>
      </c>
      <c r="E55" s="38" t="s">
        <v>1571</v>
      </c>
      <c r="F55" s="38">
        <f t="shared" si="0"/>
        <v>2024</v>
      </c>
      <c r="G55" s="38" t="str">
        <f t="shared" si="1"/>
        <v>February</v>
      </c>
      <c r="H55" s="30">
        <v>51984</v>
      </c>
      <c r="I55" s="30">
        <v>2911</v>
      </c>
      <c r="J55" s="39">
        <v>604</v>
      </c>
      <c r="K55" s="39">
        <v>374</v>
      </c>
      <c r="L55" s="39">
        <v>222</v>
      </c>
      <c r="M55" s="40">
        <v>27007.8</v>
      </c>
      <c r="N55" s="40">
        <v>1729748.62</v>
      </c>
      <c r="O55" s="33">
        <f t="shared" si="3"/>
        <v>5.6</v>
      </c>
      <c r="P55" s="34">
        <f t="shared" si="4"/>
        <v>44.7149006622517</v>
      </c>
      <c r="Q55" s="35">
        <f t="shared" si="2"/>
        <v>64.0462614503958</v>
      </c>
      <c r="R55" s="35">
        <f t="shared" si="8"/>
        <v>9.2778426657506</v>
      </c>
      <c r="S55" s="33">
        <f t="shared" si="9"/>
        <v>519.54</v>
      </c>
      <c r="T55" s="36">
        <f t="shared" si="10"/>
        <v>6304.63</v>
      </c>
    </row>
    <row r="56" spans="1:20">
      <c r="A56" s="28">
        <v>45346</v>
      </c>
      <c r="B56" s="29" t="s">
        <v>13</v>
      </c>
      <c r="C56" s="29" t="s">
        <v>14</v>
      </c>
      <c r="D56" s="29" t="s">
        <v>15</v>
      </c>
      <c r="E56" s="29" t="s">
        <v>1573</v>
      </c>
      <c r="F56" s="29">
        <f t="shared" si="0"/>
        <v>2024</v>
      </c>
      <c r="G56" s="29" t="str">
        <f t="shared" si="1"/>
        <v>February</v>
      </c>
      <c r="H56" s="30">
        <v>103947</v>
      </c>
      <c r="I56" s="30">
        <v>7149</v>
      </c>
      <c r="J56" s="31">
        <v>1414</v>
      </c>
      <c r="K56" s="31">
        <v>811</v>
      </c>
      <c r="L56" s="31">
        <v>375</v>
      </c>
      <c r="M56" s="32">
        <v>55023.96</v>
      </c>
      <c r="N56" s="32">
        <v>1623225.67</v>
      </c>
      <c r="O56" s="33">
        <f t="shared" si="3"/>
        <v>6.88</v>
      </c>
      <c r="P56" s="34">
        <f t="shared" si="4"/>
        <v>38.9136916548798</v>
      </c>
      <c r="Q56" s="35">
        <f t="shared" si="2"/>
        <v>29.5003425780333</v>
      </c>
      <c r="R56" s="35">
        <f t="shared" si="8"/>
        <v>7.69673520772136</v>
      </c>
      <c r="S56" s="33">
        <f t="shared" si="9"/>
        <v>529.35</v>
      </c>
      <c r="T56" s="36">
        <f t="shared" si="10"/>
        <v>2850.03</v>
      </c>
    </row>
    <row r="57" spans="1:20">
      <c r="A57" s="37">
        <v>45347</v>
      </c>
      <c r="B57" s="38" t="s">
        <v>13</v>
      </c>
      <c r="C57" s="38" t="s">
        <v>14</v>
      </c>
      <c r="D57" s="38" t="s">
        <v>15</v>
      </c>
      <c r="E57" s="38" t="s">
        <v>1572</v>
      </c>
      <c r="F57" s="38">
        <f t="shared" si="0"/>
        <v>2024</v>
      </c>
      <c r="G57" s="38" t="str">
        <f t="shared" si="1"/>
        <v>February</v>
      </c>
      <c r="H57" s="30">
        <v>61783</v>
      </c>
      <c r="I57" s="30">
        <v>3786</v>
      </c>
      <c r="J57" s="39">
        <v>675</v>
      </c>
      <c r="K57" s="39">
        <v>431</v>
      </c>
      <c r="L57" s="39">
        <v>230</v>
      </c>
      <c r="M57" s="40">
        <v>48713</v>
      </c>
      <c r="N57" s="40">
        <v>1095170.86</v>
      </c>
      <c r="O57" s="33">
        <f t="shared" si="3"/>
        <v>6.13</v>
      </c>
      <c r="P57" s="34">
        <f t="shared" si="4"/>
        <v>72.1674074074074</v>
      </c>
      <c r="Q57" s="35">
        <f t="shared" si="2"/>
        <v>22.482106624515</v>
      </c>
      <c r="R57" s="35">
        <f t="shared" si="8"/>
        <v>12.8666138404649</v>
      </c>
      <c r="S57" s="33">
        <f t="shared" si="9"/>
        <v>788.45</v>
      </c>
      <c r="T57" s="36">
        <f t="shared" si="10"/>
        <v>2148.21</v>
      </c>
    </row>
    <row r="58" spans="1:20">
      <c r="A58" s="28">
        <v>45348</v>
      </c>
      <c r="B58" s="29" t="s">
        <v>13</v>
      </c>
      <c r="C58" s="29" t="s">
        <v>14</v>
      </c>
      <c r="D58" s="29" t="s">
        <v>15</v>
      </c>
      <c r="E58" s="29" t="s">
        <v>1573</v>
      </c>
      <c r="F58" s="29">
        <f t="shared" si="0"/>
        <v>2024</v>
      </c>
      <c r="G58" s="29" t="str">
        <f t="shared" si="1"/>
        <v>February</v>
      </c>
      <c r="H58" s="30">
        <v>211522</v>
      </c>
      <c r="I58" s="30">
        <v>8146</v>
      </c>
      <c r="J58" s="31">
        <v>1649</v>
      </c>
      <c r="K58" s="31">
        <v>828</v>
      </c>
      <c r="L58" s="31">
        <v>347</v>
      </c>
      <c r="M58" s="32">
        <v>139232</v>
      </c>
      <c r="N58" s="32">
        <v>1343595.62</v>
      </c>
      <c r="O58" s="33">
        <f t="shared" si="3"/>
        <v>3.85</v>
      </c>
      <c r="P58" s="34">
        <f t="shared" si="4"/>
        <v>84.4342025469982</v>
      </c>
      <c r="Q58" s="35">
        <f t="shared" si="2"/>
        <v>9.65004898299242</v>
      </c>
      <c r="R58" s="35">
        <f t="shared" si="8"/>
        <v>17.0920697274736</v>
      </c>
      <c r="S58" s="33">
        <f t="shared" si="9"/>
        <v>658.24</v>
      </c>
      <c r="T58" s="36">
        <f t="shared" si="10"/>
        <v>865</v>
      </c>
    </row>
    <row r="59" spans="1:20">
      <c r="A59" s="37">
        <v>45349</v>
      </c>
      <c r="B59" s="38" t="s">
        <v>13</v>
      </c>
      <c r="C59" s="38" t="s">
        <v>14</v>
      </c>
      <c r="D59" s="38" t="s">
        <v>15</v>
      </c>
      <c r="E59" s="38" t="s">
        <v>1572</v>
      </c>
      <c r="F59" s="38">
        <f t="shared" si="0"/>
        <v>2024</v>
      </c>
      <c r="G59" s="38" t="str">
        <f t="shared" si="1"/>
        <v>February</v>
      </c>
      <c r="H59" s="30">
        <v>55880</v>
      </c>
      <c r="I59" s="30">
        <v>1910</v>
      </c>
      <c r="J59" s="39">
        <v>340</v>
      </c>
      <c r="K59" s="39">
        <v>220</v>
      </c>
      <c r="L59" s="39">
        <v>103</v>
      </c>
      <c r="M59" s="40">
        <v>40730.48</v>
      </c>
      <c r="N59" s="40">
        <v>486883.69</v>
      </c>
      <c r="O59" s="33">
        <f t="shared" si="3"/>
        <v>3.42</v>
      </c>
      <c r="P59" s="34">
        <f t="shared" si="4"/>
        <v>119.795529411765</v>
      </c>
      <c r="Q59" s="35">
        <f t="shared" si="2"/>
        <v>11.9537920986937</v>
      </c>
      <c r="R59" s="35">
        <f t="shared" si="8"/>
        <v>21.3248586387435</v>
      </c>
      <c r="S59" s="33">
        <f t="shared" si="9"/>
        <v>728.89</v>
      </c>
      <c r="T59" s="36">
        <f t="shared" si="10"/>
        <v>1095.38</v>
      </c>
    </row>
    <row r="60" spans="1:20">
      <c r="A60" s="28">
        <v>45350</v>
      </c>
      <c r="B60" s="29" t="s">
        <v>13</v>
      </c>
      <c r="C60" s="29" t="s">
        <v>14</v>
      </c>
      <c r="D60" s="29" t="s">
        <v>15</v>
      </c>
      <c r="E60" s="29" t="s">
        <v>1571</v>
      </c>
      <c r="F60" s="29">
        <f t="shared" si="0"/>
        <v>2024</v>
      </c>
      <c r="G60" s="29" t="str">
        <f t="shared" si="1"/>
        <v>February</v>
      </c>
      <c r="H60" s="30">
        <v>167535</v>
      </c>
      <c r="I60" s="30">
        <v>11504</v>
      </c>
      <c r="J60" s="31">
        <v>2177</v>
      </c>
      <c r="K60" s="31">
        <v>1304</v>
      </c>
      <c r="L60" s="31">
        <v>556</v>
      </c>
      <c r="M60" s="32">
        <v>110296.86</v>
      </c>
      <c r="N60" s="32">
        <v>4174012.5</v>
      </c>
      <c r="O60" s="33">
        <f t="shared" si="3"/>
        <v>6.87</v>
      </c>
      <c r="P60" s="34">
        <f t="shared" si="4"/>
        <v>50.6646118511713</v>
      </c>
      <c r="Q60" s="35">
        <f t="shared" si="2"/>
        <v>37.8434390607312</v>
      </c>
      <c r="R60" s="35">
        <f t="shared" si="8"/>
        <v>9.58769645340751</v>
      </c>
      <c r="S60" s="33">
        <f t="shared" si="9"/>
        <v>658.35</v>
      </c>
      <c r="T60" s="36">
        <f t="shared" si="10"/>
        <v>3684.34</v>
      </c>
    </row>
    <row r="61" spans="1:20">
      <c r="A61" s="37">
        <v>45351</v>
      </c>
      <c r="B61" s="38" t="s">
        <v>13</v>
      </c>
      <c r="C61" s="38" t="s">
        <v>14</v>
      </c>
      <c r="D61" s="38" t="s">
        <v>15</v>
      </c>
      <c r="E61" s="38" t="s">
        <v>1573</v>
      </c>
      <c r="F61" s="38">
        <f t="shared" si="0"/>
        <v>2024</v>
      </c>
      <c r="G61" s="38" t="str">
        <f t="shared" si="1"/>
        <v>February</v>
      </c>
      <c r="H61" s="30">
        <v>206944</v>
      </c>
      <c r="I61" s="30">
        <v>15993</v>
      </c>
      <c r="J61" s="39">
        <v>2610</v>
      </c>
      <c r="K61" s="39">
        <v>1657</v>
      </c>
      <c r="L61" s="39">
        <v>747</v>
      </c>
      <c r="M61" s="40">
        <v>170089.29</v>
      </c>
      <c r="N61" s="40">
        <v>2704688.17</v>
      </c>
      <c r="O61" s="33">
        <f t="shared" si="3"/>
        <v>7.73</v>
      </c>
      <c r="P61" s="34">
        <f t="shared" si="4"/>
        <v>65.1683103448276</v>
      </c>
      <c r="Q61" s="35">
        <f t="shared" si="2"/>
        <v>15.9015783415875</v>
      </c>
      <c r="R61" s="35">
        <f t="shared" si="8"/>
        <v>10.6352335396736</v>
      </c>
      <c r="S61" s="33">
        <f t="shared" si="9"/>
        <v>821.91</v>
      </c>
      <c r="T61" s="36">
        <f t="shared" si="10"/>
        <v>1490.16</v>
      </c>
    </row>
    <row r="62" spans="1:20">
      <c r="A62" s="28">
        <v>45294</v>
      </c>
      <c r="B62" s="29" t="s">
        <v>144</v>
      </c>
      <c r="C62" s="29" t="s">
        <v>145</v>
      </c>
      <c r="D62" s="29" t="s">
        <v>146</v>
      </c>
      <c r="E62" s="29" t="s">
        <v>1571</v>
      </c>
      <c r="F62" s="29">
        <f t="shared" si="0"/>
        <v>2024</v>
      </c>
      <c r="G62" s="29" t="str">
        <f t="shared" si="1"/>
        <v>January</v>
      </c>
      <c r="H62" s="30">
        <v>86043</v>
      </c>
      <c r="I62" s="30">
        <v>5121</v>
      </c>
      <c r="J62" s="31">
        <v>1032</v>
      </c>
      <c r="K62" s="31">
        <v>663</v>
      </c>
      <c r="L62" s="31">
        <v>383</v>
      </c>
      <c r="M62" s="32">
        <v>84842.24</v>
      </c>
      <c r="N62" s="32">
        <v>2067523.93</v>
      </c>
      <c r="O62" s="33">
        <f t="shared" si="3"/>
        <v>5.95</v>
      </c>
      <c r="P62" s="34">
        <f t="shared" si="4"/>
        <v>82.2114728682171</v>
      </c>
      <c r="Q62" s="35">
        <f t="shared" si="2"/>
        <v>24.3690398791923</v>
      </c>
      <c r="R62" s="35">
        <f t="shared" si="8"/>
        <v>16.5675141573911</v>
      </c>
      <c r="S62" s="33">
        <f t="shared" si="9"/>
        <v>986.04</v>
      </c>
      <c r="T62" s="36">
        <f t="shared" si="10"/>
        <v>2336.9</v>
      </c>
    </row>
    <row r="63" spans="1:20">
      <c r="A63" s="37">
        <v>45294</v>
      </c>
      <c r="B63" s="38" t="s">
        <v>13</v>
      </c>
      <c r="C63" s="38" t="s">
        <v>14</v>
      </c>
      <c r="D63" s="38" t="s">
        <v>15</v>
      </c>
      <c r="E63" s="38" t="s">
        <v>1572</v>
      </c>
      <c r="F63" s="38">
        <f t="shared" si="0"/>
        <v>2024</v>
      </c>
      <c r="G63" s="38" t="str">
        <f t="shared" si="1"/>
        <v>January</v>
      </c>
      <c r="H63" s="30">
        <v>238624</v>
      </c>
      <c r="I63" s="30">
        <v>16826</v>
      </c>
      <c r="J63" s="39">
        <v>3034</v>
      </c>
      <c r="K63" s="39">
        <v>1553</v>
      </c>
      <c r="L63" s="39">
        <v>882</v>
      </c>
      <c r="M63" s="40">
        <v>121439.76</v>
      </c>
      <c r="N63" s="40">
        <v>5523179.95</v>
      </c>
      <c r="O63" s="33">
        <f t="shared" si="3"/>
        <v>7.05</v>
      </c>
      <c r="P63" s="34">
        <f t="shared" si="4"/>
        <v>40.0262887277521</v>
      </c>
      <c r="Q63" s="35">
        <f t="shared" si="2"/>
        <v>45.4808206966153</v>
      </c>
      <c r="R63" s="35">
        <f t="shared" si="8"/>
        <v>7.21738737667895</v>
      </c>
      <c r="S63" s="33">
        <f t="shared" si="9"/>
        <v>508.92</v>
      </c>
      <c r="T63" s="36">
        <f t="shared" si="10"/>
        <v>4448.08</v>
      </c>
    </row>
    <row r="64" spans="1:20">
      <c r="A64" s="28">
        <v>45325</v>
      </c>
      <c r="B64" s="29" t="s">
        <v>144</v>
      </c>
      <c r="C64" s="29" t="s">
        <v>145</v>
      </c>
      <c r="D64" s="29" t="s">
        <v>146</v>
      </c>
      <c r="E64" s="29" t="s">
        <v>1571</v>
      </c>
      <c r="F64" s="29">
        <f t="shared" si="0"/>
        <v>2024</v>
      </c>
      <c r="G64" s="29" t="str">
        <f t="shared" si="1"/>
        <v>February</v>
      </c>
      <c r="H64" s="30">
        <v>106383</v>
      </c>
      <c r="I64" s="30">
        <v>8132</v>
      </c>
      <c r="J64" s="31">
        <v>1989</v>
      </c>
      <c r="K64" s="31">
        <v>1180</v>
      </c>
      <c r="L64" s="31">
        <v>597</v>
      </c>
      <c r="M64" s="32">
        <v>68120.59</v>
      </c>
      <c r="N64" s="32">
        <v>4167141.49</v>
      </c>
      <c r="O64" s="33">
        <f t="shared" si="3"/>
        <v>7.64</v>
      </c>
      <c r="P64" s="34">
        <f t="shared" si="4"/>
        <v>34.248662644545</v>
      </c>
      <c r="Q64" s="35">
        <f t="shared" si="2"/>
        <v>61.1730093647163</v>
      </c>
      <c r="R64" s="35">
        <f t="shared" si="8"/>
        <v>8.37685563207083</v>
      </c>
      <c r="S64" s="33">
        <f t="shared" si="9"/>
        <v>640.33</v>
      </c>
      <c r="T64" s="36">
        <f t="shared" si="10"/>
        <v>6017.3</v>
      </c>
    </row>
    <row r="65" spans="1:20">
      <c r="A65" s="37">
        <v>45325</v>
      </c>
      <c r="B65" s="38" t="s">
        <v>13</v>
      </c>
      <c r="C65" s="38" t="s">
        <v>14</v>
      </c>
      <c r="D65" s="38" t="s">
        <v>15</v>
      </c>
      <c r="E65" s="38" t="s">
        <v>1573</v>
      </c>
      <c r="F65" s="38">
        <f t="shared" si="0"/>
        <v>2024</v>
      </c>
      <c r="G65" s="38" t="str">
        <f t="shared" si="1"/>
        <v>February</v>
      </c>
      <c r="H65" s="30">
        <v>137353</v>
      </c>
      <c r="I65" s="30">
        <v>10177</v>
      </c>
      <c r="J65" s="39">
        <v>1561</v>
      </c>
      <c r="K65" s="39">
        <v>926</v>
      </c>
      <c r="L65" s="39">
        <v>440</v>
      </c>
      <c r="M65" s="40">
        <v>62507.3</v>
      </c>
      <c r="N65" s="40">
        <v>2300981.91</v>
      </c>
      <c r="O65" s="33">
        <f t="shared" si="3"/>
        <v>7.41</v>
      </c>
      <c r="P65" s="34">
        <f t="shared" si="4"/>
        <v>40.0431133888533</v>
      </c>
      <c r="Q65" s="35">
        <f t="shared" si="2"/>
        <v>36.8114109871967</v>
      </c>
      <c r="R65" s="35">
        <f t="shared" si="8"/>
        <v>6.14201631129016</v>
      </c>
      <c r="S65" s="33">
        <f t="shared" si="9"/>
        <v>455.09</v>
      </c>
      <c r="T65" s="36">
        <f t="shared" si="10"/>
        <v>3581.14</v>
      </c>
    </row>
    <row r="66" spans="1:20">
      <c r="A66" s="28">
        <v>45354</v>
      </c>
      <c r="B66" s="29" t="s">
        <v>144</v>
      </c>
      <c r="C66" s="29" t="s">
        <v>145</v>
      </c>
      <c r="D66" s="29" t="s">
        <v>146</v>
      </c>
      <c r="E66" s="29" t="s">
        <v>1571</v>
      </c>
      <c r="F66" s="29">
        <f t="shared" ref="F66:F129" si="11">YEAR(A66)</f>
        <v>2024</v>
      </c>
      <c r="G66" s="29" t="str">
        <f t="shared" ref="G66:G129" si="12">TEXT(A66,"mmmm")</f>
        <v>March</v>
      </c>
      <c r="H66" s="30">
        <v>190183</v>
      </c>
      <c r="I66" s="30">
        <v>9911</v>
      </c>
      <c r="J66" s="31">
        <v>2343</v>
      </c>
      <c r="K66" s="31">
        <v>1331</v>
      </c>
      <c r="L66" s="31">
        <v>712</v>
      </c>
      <c r="M66" s="32">
        <v>170515</v>
      </c>
      <c r="N66" s="32">
        <v>2633312.2</v>
      </c>
      <c r="O66" s="33">
        <f t="shared" si="3"/>
        <v>5.21</v>
      </c>
      <c r="P66" s="34">
        <f t="shared" ref="P66:P129" si="13">M66/J66</f>
        <v>72.7763551002988</v>
      </c>
      <c r="Q66" s="35">
        <f t="shared" ref="Q66:Q129" si="14">N66/M66</f>
        <v>15.4432876873002</v>
      </c>
      <c r="R66" s="35">
        <f t="shared" si="8"/>
        <v>17.2046211280396</v>
      </c>
      <c r="S66" s="33">
        <f t="shared" si="9"/>
        <v>896.58</v>
      </c>
      <c r="T66" s="36">
        <f t="shared" si="10"/>
        <v>1444.33</v>
      </c>
    </row>
    <row r="67" spans="1:20">
      <c r="A67" s="37">
        <v>45354</v>
      </c>
      <c r="B67" s="38" t="s">
        <v>13</v>
      </c>
      <c r="C67" s="38" t="s">
        <v>14</v>
      </c>
      <c r="D67" s="38" t="s">
        <v>15</v>
      </c>
      <c r="E67" s="38" t="s">
        <v>1571</v>
      </c>
      <c r="F67" s="38">
        <f t="shared" si="11"/>
        <v>2024</v>
      </c>
      <c r="G67" s="38" t="str">
        <f t="shared" si="12"/>
        <v>March</v>
      </c>
      <c r="H67" s="30">
        <v>248339</v>
      </c>
      <c r="I67" s="30">
        <v>16962</v>
      </c>
      <c r="J67" s="39">
        <v>3496</v>
      </c>
      <c r="K67" s="39">
        <v>1806</v>
      </c>
      <c r="L67" s="39">
        <v>789</v>
      </c>
      <c r="M67" s="40">
        <v>175686.4</v>
      </c>
      <c r="N67" s="40">
        <v>2908345.21</v>
      </c>
      <c r="O67" s="33">
        <f t="shared" ref="O67:O130" si="15">ROUND(I67/H67*100,2)</f>
        <v>6.83</v>
      </c>
      <c r="P67" s="34">
        <f t="shared" si="13"/>
        <v>50.2535469107551</v>
      </c>
      <c r="Q67" s="35">
        <f t="shared" si="14"/>
        <v>16.5541852414302</v>
      </c>
      <c r="R67" s="35">
        <f t="shared" si="8"/>
        <v>10.35764650395</v>
      </c>
      <c r="S67" s="33">
        <f t="shared" si="9"/>
        <v>707.45</v>
      </c>
      <c r="T67" s="36">
        <f t="shared" si="10"/>
        <v>1555.42</v>
      </c>
    </row>
    <row r="68" spans="1:20">
      <c r="A68" s="28">
        <v>45385</v>
      </c>
      <c r="B68" s="29" t="s">
        <v>144</v>
      </c>
      <c r="C68" s="29" t="s">
        <v>145</v>
      </c>
      <c r="D68" s="29" t="s">
        <v>146</v>
      </c>
      <c r="E68" s="29" t="s">
        <v>1571</v>
      </c>
      <c r="F68" s="29">
        <f t="shared" si="11"/>
        <v>2024</v>
      </c>
      <c r="G68" s="29" t="str">
        <f t="shared" si="12"/>
        <v>April</v>
      </c>
      <c r="H68" s="30">
        <v>151825</v>
      </c>
      <c r="I68" s="30">
        <v>7293</v>
      </c>
      <c r="J68" s="31">
        <v>1728</v>
      </c>
      <c r="K68" s="31">
        <v>1114</v>
      </c>
      <c r="L68" s="31">
        <v>497</v>
      </c>
      <c r="M68" s="32">
        <v>76965.64</v>
      </c>
      <c r="N68" s="32">
        <v>3527269.49</v>
      </c>
      <c r="O68" s="33">
        <f t="shared" si="15"/>
        <v>4.8</v>
      </c>
      <c r="P68" s="34">
        <f t="shared" si="13"/>
        <v>44.5403009259259</v>
      </c>
      <c r="Q68" s="35">
        <f t="shared" si="14"/>
        <v>45.8291451873849</v>
      </c>
      <c r="R68" s="35">
        <f t="shared" si="8"/>
        <v>10.5533580145345</v>
      </c>
      <c r="S68" s="33">
        <f t="shared" si="9"/>
        <v>506.94</v>
      </c>
      <c r="T68" s="36">
        <f t="shared" si="10"/>
        <v>4482.91</v>
      </c>
    </row>
    <row r="69" spans="1:20">
      <c r="A69" s="37">
        <v>45385</v>
      </c>
      <c r="B69" s="38" t="s">
        <v>13</v>
      </c>
      <c r="C69" s="38" t="s">
        <v>14</v>
      </c>
      <c r="D69" s="38" t="s">
        <v>15</v>
      </c>
      <c r="E69" s="38" t="s">
        <v>1571</v>
      </c>
      <c r="F69" s="38">
        <f t="shared" si="11"/>
        <v>2024</v>
      </c>
      <c r="G69" s="38" t="str">
        <f t="shared" si="12"/>
        <v>April</v>
      </c>
      <c r="H69" s="30">
        <v>56983</v>
      </c>
      <c r="I69" s="30">
        <v>2037</v>
      </c>
      <c r="J69" s="39">
        <v>418</v>
      </c>
      <c r="K69" s="39">
        <v>208</v>
      </c>
      <c r="L69" s="39">
        <v>123</v>
      </c>
      <c r="M69" s="40">
        <v>53251.91</v>
      </c>
      <c r="N69" s="40">
        <v>737803.26</v>
      </c>
      <c r="O69" s="33">
        <f t="shared" si="15"/>
        <v>3.57</v>
      </c>
      <c r="P69" s="34">
        <f t="shared" si="13"/>
        <v>127.396913875598</v>
      </c>
      <c r="Q69" s="35">
        <f t="shared" si="14"/>
        <v>13.8549633243202</v>
      </c>
      <c r="R69" s="35">
        <f t="shared" si="8"/>
        <v>26.142322042219</v>
      </c>
      <c r="S69" s="33">
        <f t="shared" si="9"/>
        <v>934.52</v>
      </c>
      <c r="T69" s="36">
        <f t="shared" si="10"/>
        <v>1285.5</v>
      </c>
    </row>
    <row r="70" spans="1:20">
      <c r="A70" s="28">
        <v>45415</v>
      </c>
      <c r="B70" s="29" t="s">
        <v>144</v>
      </c>
      <c r="C70" s="29" t="s">
        <v>145</v>
      </c>
      <c r="D70" s="29" t="s">
        <v>146</v>
      </c>
      <c r="E70" s="29" t="s">
        <v>1571</v>
      </c>
      <c r="F70" s="29">
        <f t="shared" si="11"/>
        <v>2024</v>
      </c>
      <c r="G70" s="29" t="str">
        <f t="shared" si="12"/>
        <v>May</v>
      </c>
      <c r="H70" s="30">
        <v>70110</v>
      </c>
      <c r="I70" s="30">
        <v>3013</v>
      </c>
      <c r="J70" s="31">
        <v>750</v>
      </c>
      <c r="K70" s="31">
        <v>468</v>
      </c>
      <c r="L70" s="31">
        <v>238</v>
      </c>
      <c r="M70" s="32">
        <v>52948</v>
      </c>
      <c r="N70" s="32">
        <v>1892177.59</v>
      </c>
      <c r="O70" s="33">
        <f t="shared" si="15"/>
        <v>4.3</v>
      </c>
      <c r="P70" s="34">
        <f t="shared" si="13"/>
        <v>70.5973333333333</v>
      </c>
      <c r="Q70" s="35">
        <f t="shared" si="14"/>
        <v>35.736526214399</v>
      </c>
      <c r="R70" s="35">
        <f t="shared" si="8"/>
        <v>17.5731828742117</v>
      </c>
      <c r="S70" s="33">
        <f t="shared" si="9"/>
        <v>755.21</v>
      </c>
      <c r="T70" s="36">
        <f t="shared" si="10"/>
        <v>3473.65</v>
      </c>
    </row>
    <row r="71" spans="1:20">
      <c r="A71" s="37">
        <v>45415</v>
      </c>
      <c r="B71" s="38" t="s">
        <v>13</v>
      </c>
      <c r="C71" s="38" t="s">
        <v>14</v>
      </c>
      <c r="D71" s="38" t="s">
        <v>15</v>
      </c>
      <c r="E71" s="38" t="s">
        <v>1572</v>
      </c>
      <c r="F71" s="38">
        <f t="shared" si="11"/>
        <v>2024</v>
      </c>
      <c r="G71" s="38" t="str">
        <f t="shared" si="12"/>
        <v>May</v>
      </c>
      <c r="H71" s="30">
        <v>161034</v>
      </c>
      <c r="I71" s="30">
        <v>5095</v>
      </c>
      <c r="J71" s="39">
        <v>881</v>
      </c>
      <c r="K71" s="39">
        <v>462</v>
      </c>
      <c r="L71" s="39">
        <v>224</v>
      </c>
      <c r="M71" s="40">
        <v>84019.32</v>
      </c>
      <c r="N71" s="40">
        <v>923164.11</v>
      </c>
      <c r="O71" s="33">
        <f t="shared" si="15"/>
        <v>3.16</v>
      </c>
      <c r="P71" s="34">
        <f t="shared" si="13"/>
        <v>95.3681271282633</v>
      </c>
      <c r="Q71" s="35">
        <f t="shared" si="14"/>
        <v>10.9875217985578</v>
      </c>
      <c r="R71" s="35">
        <f t="shared" si="8"/>
        <v>16.490543670265</v>
      </c>
      <c r="S71" s="33">
        <f t="shared" si="9"/>
        <v>521.75</v>
      </c>
      <c r="T71" s="36">
        <f t="shared" si="10"/>
        <v>998.75</v>
      </c>
    </row>
    <row r="72" spans="1:20">
      <c r="A72" s="28">
        <v>45446</v>
      </c>
      <c r="B72" s="29" t="s">
        <v>144</v>
      </c>
      <c r="C72" s="29" t="s">
        <v>145</v>
      </c>
      <c r="D72" s="29" t="s">
        <v>146</v>
      </c>
      <c r="E72" s="29" t="s">
        <v>1571</v>
      </c>
      <c r="F72" s="29">
        <f t="shared" si="11"/>
        <v>2024</v>
      </c>
      <c r="G72" s="29" t="str">
        <f t="shared" si="12"/>
        <v>June</v>
      </c>
      <c r="H72" s="30">
        <v>127872</v>
      </c>
      <c r="I72" s="30">
        <v>7698</v>
      </c>
      <c r="J72" s="31">
        <v>1526</v>
      </c>
      <c r="K72" s="31">
        <v>763</v>
      </c>
      <c r="L72" s="31">
        <v>381</v>
      </c>
      <c r="M72" s="32">
        <v>116041.16</v>
      </c>
      <c r="N72" s="32">
        <v>2303108.01</v>
      </c>
      <c r="O72" s="33">
        <f t="shared" si="15"/>
        <v>6.02</v>
      </c>
      <c r="P72" s="34">
        <f t="shared" si="13"/>
        <v>76.0426998689384</v>
      </c>
      <c r="Q72" s="35">
        <f t="shared" si="14"/>
        <v>19.8473370138665</v>
      </c>
      <c r="R72" s="35">
        <f t="shared" si="8"/>
        <v>15.0741958950377</v>
      </c>
      <c r="S72" s="33">
        <f t="shared" si="9"/>
        <v>907.48</v>
      </c>
      <c r="T72" s="36">
        <f t="shared" si="10"/>
        <v>1884.73</v>
      </c>
    </row>
    <row r="73" spans="1:20">
      <c r="A73" s="37">
        <v>45446</v>
      </c>
      <c r="B73" s="38" t="s">
        <v>13</v>
      </c>
      <c r="C73" s="38" t="s">
        <v>14</v>
      </c>
      <c r="D73" s="38" t="s">
        <v>15</v>
      </c>
      <c r="E73" s="38" t="s">
        <v>1571</v>
      </c>
      <c r="F73" s="38">
        <f t="shared" si="11"/>
        <v>2024</v>
      </c>
      <c r="G73" s="38" t="str">
        <f t="shared" si="12"/>
        <v>June</v>
      </c>
      <c r="H73" s="30">
        <v>207444</v>
      </c>
      <c r="I73" s="30">
        <v>12055</v>
      </c>
      <c r="J73" s="39">
        <v>2103</v>
      </c>
      <c r="K73" s="39">
        <v>1256</v>
      </c>
      <c r="L73" s="39">
        <v>542</v>
      </c>
      <c r="M73" s="40">
        <v>112399.62</v>
      </c>
      <c r="N73" s="40">
        <v>2091662.03</v>
      </c>
      <c r="O73" s="33">
        <f t="shared" si="15"/>
        <v>5.81</v>
      </c>
      <c r="P73" s="34">
        <f t="shared" si="13"/>
        <v>53.44727532097</v>
      </c>
      <c r="Q73" s="35">
        <f t="shared" si="14"/>
        <v>18.60915570711</v>
      </c>
      <c r="R73" s="35">
        <f t="shared" si="8"/>
        <v>9.32390045624222</v>
      </c>
      <c r="S73" s="33">
        <f t="shared" si="9"/>
        <v>541.83</v>
      </c>
      <c r="T73" s="36">
        <f t="shared" si="10"/>
        <v>1760.92</v>
      </c>
    </row>
    <row r="74" spans="1:20">
      <c r="A74" s="28">
        <v>45476</v>
      </c>
      <c r="B74" s="29" t="s">
        <v>144</v>
      </c>
      <c r="C74" s="29" t="s">
        <v>145</v>
      </c>
      <c r="D74" s="29" t="s">
        <v>146</v>
      </c>
      <c r="E74" s="29" t="s">
        <v>1571</v>
      </c>
      <c r="F74" s="29">
        <f t="shared" si="11"/>
        <v>2024</v>
      </c>
      <c r="G74" s="29" t="str">
        <f t="shared" si="12"/>
        <v>July</v>
      </c>
      <c r="H74" s="30">
        <v>125458</v>
      </c>
      <c r="I74" s="30">
        <v>8435</v>
      </c>
      <c r="J74" s="31">
        <v>1509</v>
      </c>
      <c r="K74" s="31">
        <v>693</v>
      </c>
      <c r="L74" s="31">
        <v>366</v>
      </c>
      <c r="M74" s="32">
        <v>66260.18</v>
      </c>
      <c r="N74" s="32">
        <v>2398363.29</v>
      </c>
      <c r="O74" s="33">
        <f t="shared" si="15"/>
        <v>6.72</v>
      </c>
      <c r="P74" s="34">
        <f t="shared" si="13"/>
        <v>43.9099933730948</v>
      </c>
      <c r="Q74" s="35">
        <f t="shared" si="14"/>
        <v>36.1961481239562</v>
      </c>
      <c r="R74" s="35">
        <f t="shared" si="8"/>
        <v>7.85538589211618</v>
      </c>
      <c r="S74" s="33">
        <f t="shared" si="9"/>
        <v>528.15</v>
      </c>
      <c r="T74" s="36">
        <f t="shared" si="10"/>
        <v>3519.61</v>
      </c>
    </row>
    <row r="75" spans="1:20">
      <c r="A75" s="37">
        <v>45476</v>
      </c>
      <c r="B75" s="38" t="s">
        <v>13</v>
      </c>
      <c r="C75" s="38" t="s">
        <v>14</v>
      </c>
      <c r="D75" s="38" t="s">
        <v>15</v>
      </c>
      <c r="E75" s="38" t="s">
        <v>1573</v>
      </c>
      <c r="F75" s="38">
        <f t="shared" si="11"/>
        <v>2024</v>
      </c>
      <c r="G75" s="38" t="str">
        <f t="shared" si="12"/>
        <v>July</v>
      </c>
      <c r="H75" s="30">
        <v>125186</v>
      </c>
      <c r="I75" s="30">
        <v>5438</v>
      </c>
      <c r="J75" s="39">
        <v>1013</v>
      </c>
      <c r="K75" s="39">
        <v>516</v>
      </c>
      <c r="L75" s="39">
        <v>288</v>
      </c>
      <c r="M75" s="40">
        <v>70257.17</v>
      </c>
      <c r="N75" s="40">
        <v>1655474.48</v>
      </c>
      <c r="O75" s="33">
        <f t="shared" si="15"/>
        <v>4.34</v>
      </c>
      <c r="P75" s="34">
        <f t="shared" si="13"/>
        <v>69.3555478775913</v>
      </c>
      <c r="Q75" s="35">
        <f t="shared" si="14"/>
        <v>23.5630680825886</v>
      </c>
      <c r="R75" s="35">
        <f t="shared" si="8"/>
        <v>12.9196708348658</v>
      </c>
      <c r="S75" s="33">
        <f t="shared" si="9"/>
        <v>561.22</v>
      </c>
      <c r="T75" s="36">
        <f t="shared" si="10"/>
        <v>2256.31</v>
      </c>
    </row>
    <row r="76" spans="1:20">
      <c r="A76" s="28">
        <v>45507</v>
      </c>
      <c r="B76" s="29" t="s">
        <v>144</v>
      </c>
      <c r="C76" s="29" t="s">
        <v>145</v>
      </c>
      <c r="D76" s="29" t="s">
        <v>146</v>
      </c>
      <c r="E76" s="29" t="s">
        <v>1571</v>
      </c>
      <c r="F76" s="29">
        <f t="shared" si="11"/>
        <v>2024</v>
      </c>
      <c r="G76" s="29" t="str">
        <f t="shared" si="12"/>
        <v>August</v>
      </c>
      <c r="H76" s="30">
        <v>52749</v>
      </c>
      <c r="I76" s="30">
        <v>3113</v>
      </c>
      <c r="J76" s="31">
        <v>594</v>
      </c>
      <c r="K76" s="31">
        <v>267</v>
      </c>
      <c r="L76" s="31">
        <v>132</v>
      </c>
      <c r="M76" s="32">
        <v>47097.46</v>
      </c>
      <c r="N76" s="32">
        <v>644765.61</v>
      </c>
      <c r="O76" s="33">
        <f t="shared" si="15"/>
        <v>5.9</v>
      </c>
      <c r="P76" s="34">
        <f t="shared" si="13"/>
        <v>79.2886531986532</v>
      </c>
      <c r="Q76" s="35">
        <f t="shared" si="14"/>
        <v>13.6900293561479</v>
      </c>
      <c r="R76" s="35">
        <f t="shared" si="8"/>
        <v>15.129283649213</v>
      </c>
      <c r="S76" s="33">
        <f t="shared" si="9"/>
        <v>892.86</v>
      </c>
      <c r="T76" s="36">
        <f t="shared" si="10"/>
        <v>1269</v>
      </c>
    </row>
    <row r="77" spans="1:20">
      <c r="A77" s="37">
        <v>45507</v>
      </c>
      <c r="B77" s="38" t="s">
        <v>13</v>
      </c>
      <c r="C77" s="38" t="s">
        <v>14</v>
      </c>
      <c r="D77" s="38" t="s">
        <v>15</v>
      </c>
      <c r="E77" s="38" t="s">
        <v>1571</v>
      </c>
      <c r="F77" s="38">
        <f t="shared" si="11"/>
        <v>2024</v>
      </c>
      <c r="G77" s="38" t="str">
        <f t="shared" si="12"/>
        <v>August</v>
      </c>
      <c r="H77" s="30">
        <v>153379</v>
      </c>
      <c r="I77" s="30">
        <v>7139</v>
      </c>
      <c r="J77" s="39">
        <v>1663</v>
      </c>
      <c r="K77" s="39">
        <v>957</v>
      </c>
      <c r="L77" s="39">
        <v>429</v>
      </c>
      <c r="M77" s="40">
        <v>102014.36</v>
      </c>
      <c r="N77" s="40">
        <v>1463624.77</v>
      </c>
      <c r="O77" s="33">
        <f t="shared" si="15"/>
        <v>4.65</v>
      </c>
      <c r="P77" s="34">
        <f t="shared" si="13"/>
        <v>61.3435718580878</v>
      </c>
      <c r="Q77" s="35">
        <f t="shared" si="14"/>
        <v>14.3472425842793</v>
      </c>
      <c r="R77" s="35">
        <f t="shared" si="8"/>
        <v>14.2897268525004</v>
      </c>
      <c r="S77" s="33">
        <f t="shared" si="9"/>
        <v>665.11</v>
      </c>
      <c r="T77" s="36">
        <f t="shared" si="10"/>
        <v>1334.72</v>
      </c>
    </row>
    <row r="78" spans="1:20">
      <c r="A78" s="28">
        <v>45538</v>
      </c>
      <c r="B78" s="29" t="s">
        <v>144</v>
      </c>
      <c r="C78" s="29" t="s">
        <v>145</v>
      </c>
      <c r="D78" s="29" t="s">
        <v>146</v>
      </c>
      <c r="E78" s="29" t="s">
        <v>1571</v>
      </c>
      <c r="F78" s="29">
        <f t="shared" si="11"/>
        <v>2024</v>
      </c>
      <c r="G78" s="29" t="str">
        <f t="shared" si="12"/>
        <v>September</v>
      </c>
      <c r="H78" s="30">
        <v>55614</v>
      </c>
      <c r="I78" s="30">
        <v>3540</v>
      </c>
      <c r="J78" s="31">
        <v>572</v>
      </c>
      <c r="K78" s="31">
        <v>343</v>
      </c>
      <c r="L78" s="31">
        <v>154</v>
      </c>
      <c r="M78" s="32">
        <v>36078.71</v>
      </c>
      <c r="N78" s="32">
        <v>646246.86</v>
      </c>
      <c r="O78" s="33">
        <f t="shared" si="15"/>
        <v>6.37</v>
      </c>
      <c r="P78" s="34">
        <f t="shared" si="13"/>
        <v>63.0746678321678</v>
      </c>
      <c r="Q78" s="35">
        <f t="shared" si="14"/>
        <v>17.9121387654936</v>
      </c>
      <c r="R78" s="35">
        <f t="shared" si="8"/>
        <v>10.1917259887006</v>
      </c>
      <c r="S78" s="33">
        <f t="shared" si="9"/>
        <v>648.73</v>
      </c>
      <c r="T78" s="36">
        <f t="shared" si="10"/>
        <v>1691.21</v>
      </c>
    </row>
    <row r="79" spans="1:20">
      <c r="A79" s="37">
        <v>45538</v>
      </c>
      <c r="B79" s="38" t="s">
        <v>13</v>
      </c>
      <c r="C79" s="38" t="s">
        <v>14</v>
      </c>
      <c r="D79" s="38" t="s">
        <v>15</v>
      </c>
      <c r="E79" s="38" t="s">
        <v>1571</v>
      </c>
      <c r="F79" s="38">
        <f t="shared" si="11"/>
        <v>2024</v>
      </c>
      <c r="G79" s="38" t="str">
        <f t="shared" si="12"/>
        <v>September</v>
      </c>
      <c r="H79" s="30">
        <v>123685</v>
      </c>
      <c r="I79" s="30">
        <v>8520</v>
      </c>
      <c r="J79" s="39">
        <v>2108</v>
      </c>
      <c r="K79" s="39">
        <v>1010</v>
      </c>
      <c r="L79" s="39">
        <v>406</v>
      </c>
      <c r="M79" s="40">
        <v>122048.41</v>
      </c>
      <c r="N79" s="40">
        <v>1454477.2</v>
      </c>
      <c r="O79" s="33">
        <f t="shared" si="15"/>
        <v>6.89</v>
      </c>
      <c r="P79" s="34">
        <f t="shared" si="13"/>
        <v>57.8977277039848</v>
      </c>
      <c r="Q79" s="35">
        <f t="shared" si="14"/>
        <v>11.9172154721229</v>
      </c>
      <c r="R79" s="35">
        <f t="shared" si="8"/>
        <v>14.3249307511737</v>
      </c>
      <c r="S79" s="33">
        <f t="shared" si="9"/>
        <v>986.77</v>
      </c>
      <c r="T79" s="36">
        <f t="shared" si="10"/>
        <v>1091.72</v>
      </c>
    </row>
    <row r="80" spans="1:20">
      <c r="A80" s="28">
        <v>45568</v>
      </c>
      <c r="B80" s="29" t="s">
        <v>144</v>
      </c>
      <c r="C80" s="29" t="s">
        <v>145</v>
      </c>
      <c r="D80" s="29" t="s">
        <v>146</v>
      </c>
      <c r="E80" s="29" t="s">
        <v>1571</v>
      </c>
      <c r="F80" s="29">
        <f t="shared" si="11"/>
        <v>2024</v>
      </c>
      <c r="G80" s="29" t="str">
        <f t="shared" si="12"/>
        <v>October</v>
      </c>
      <c r="H80" s="30">
        <v>160586</v>
      </c>
      <c r="I80" s="30">
        <v>9019</v>
      </c>
      <c r="J80" s="31">
        <v>1457</v>
      </c>
      <c r="K80" s="31">
        <v>790</v>
      </c>
      <c r="L80" s="31">
        <v>427</v>
      </c>
      <c r="M80" s="32">
        <v>118320.36</v>
      </c>
      <c r="N80" s="32">
        <v>2536804.91</v>
      </c>
      <c r="O80" s="33">
        <f t="shared" si="15"/>
        <v>5.62</v>
      </c>
      <c r="P80" s="34">
        <f t="shared" si="13"/>
        <v>81.2082086479067</v>
      </c>
      <c r="Q80" s="35">
        <f t="shared" si="14"/>
        <v>21.4401385357516</v>
      </c>
      <c r="R80" s="35">
        <f t="shared" si="8"/>
        <v>13.1190109768267</v>
      </c>
      <c r="S80" s="33">
        <f t="shared" si="9"/>
        <v>736.8</v>
      </c>
      <c r="T80" s="36">
        <f t="shared" si="10"/>
        <v>2044.01</v>
      </c>
    </row>
    <row r="81" spans="1:20">
      <c r="A81" s="37">
        <v>45568</v>
      </c>
      <c r="B81" s="38" t="s">
        <v>13</v>
      </c>
      <c r="C81" s="38" t="s">
        <v>14</v>
      </c>
      <c r="D81" s="38" t="s">
        <v>15</v>
      </c>
      <c r="E81" s="38" t="s">
        <v>1573</v>
      </c>
      <c r="F81" s="38">
        <f t="shared" si="11"/>
        <v>2024</v>
      </c>
      <c r="G81" s="38" t="str">
        <f t="shared" si="12"/>
        <v>October</v>
      </c>
      <c r="H81" s="30">
        <v>226639</v>
      </c>
      <c r="I81" s="30">
        <v>12635</v>
      </c>
      <c r="J81" s="39">
        <v>2302</v>
      </c>
      <c r="K81" s="39">
        <v>1218</v>
      </c>
      <c r="L81" s="39">
        <v>650</v>
      </c>
      <c r="M81" s="40">
        <v>199476.34</v>
      </c>
      <c r="N81" s="40">
        <v>3964941.02</v>
      </c>
      <c r="O81" s="33">
        <f t="shared" si="15"/>
        <v>5.57</v>
      </c>
      <c r="P81" s="34">
        <f t="shared" si="13"/>
        <v>86.6534926151173</v>
      </c>
      <c r="Q81" s="35">
        <f t="shared" si="14"/>
        <v>19.8767483903104</v>
      </c>
      <c r="R81" s="35">
        <f t="shared" si="8"/>
        <v>15.7876011080332</v>
      </c>
      <c r="S81" s="33">
        <f t="shared" si="9"/>
        <v>880.15</v>
      </c>
      <c r="T81" s="36">
        <f t="shared" si="10"/>
        <v>1887.67</v>
      </c>
    </row>
    <row r="82" spans="1:20">
      <c r="A82" s="28">
        <v>45599</v>
      </c>
      <c r="B82" s="29" t="s">
        <v>144</v>
      </c>
      <c r="C82" s="29" t="s">
        <v>145</v>
      </c>
      <c r="D82" s="29" t="s">
        <v>146</v>
      </c>
      <c r="E82" s="29" t="s">
        <v>1571</v>
      </c>
      <c r="F82" s="29">
        <f t="shared" si="11"/>
        <v>2024</v>
      </c>
      <c r="G82" s="29" t="str">
        <f t="shared" si="12"/>
        <v>November</v>
      </c>
      <c r="H82" s="30">
        <v>73407</v>
      </c>
      <c r="I82" s="30">
        <v>5606</v>
      </c>
      <c r="J82" s="31">
        <v>883</v>
      </c>
      <c r="K82" s="31">
        <v>498</v>
      </c>
      <c r="L82" s="31">
        <v>256</v>
      </c>
      <c r="M82" s="32">
        <v>70482.99</v>
      </c>
      <c r="N82" s="32">
        <v>1018845.71</v>
      </c>
      <c r="O82" s="33">
        <f t="shared" si="15"/>
        <v>7.64</v>
      </c>
      <c r="P82" s="34">
        <f t="shared" si="13"/>
        <v>79.8221857304643</v>
      </c>
      <c r="Q82" s="35">
        <f t="shared" si="14"/>
        <v>14.4551999000042</v>
      </c>
      <c r="R82" s="35">
        <f t="shared" si="8"/>
        <v>12.5727773813771</v>
      </c>
      <c r="S82" s="33">
        <f t="shared" si="9"/>
        <v>960.17</v>
      </c>
      <c r="T82" s="36">
        <f t="shared" si="10"/>
        <v>1345.52</v>
      </c>
    </row>
    <row r="83" spans="1:20">
      <c r="A83" s="37">
        <v>45599</v>
      </c>
      <c r="B83" s="38" t="s">
        <v>13</v>
      </c>
      <c r="C83" s="38" t="s">
        <v>14</v>
      </c>
      <c r="D83" s="38" t="s">
        <v>15</v>
      </c>
      <c r="E83" s="38" t="s">
        <v>1572</v>
      </c>
      <c r="F83" s="38">
        <f t="shared" si="11"/>
        <v>2024</v>
      </c>
      <c r="G83" s="38" t="str">
        <f t="shared" si="12"/>
        <v>November</v>
      </c>
      <c r="H83" s="30">
        <v>213309</v>
      </c>
      <c r="I83" s="30">
        <v>8042</v>
      </c>
      <c r="J83" s="39">
        <v>1913</v>
      </c>
      <c r="K83" s="39">
        <v>1209</v>
      </c>
      <c r="L83" s="39">
        <v>533</v>
      </c>
      <c r="M83" s="40">
        <v>164269.5</v>
      </c>
      <c r="N83" s="40">
        <v>4063881.15</v>
      </c>
      <c r="O83" s="33">
        <f t="shared" si="15"/>
        <v>3.77</v>
      </c>
      <c r="P83" s="34">
        <f t="shared" si="13"/>
        <v>85.8700993204391</v>
      </c>
      <c r="Q83" s="35">
        <f t="shared" si="14"/>
        <v>24.7391095121127</v>
      </c>
      <c r="R83" s="35">
        <f t="shared" si="8"/>
        <v>20.4264486446158</v>
      </c>
      <c r="S83" s="33">
        <f t="shared" si="9"/>
        <v>770.1</v>
      </c>
      <c r="T83" s="36">
        <f t="shared" si="10"/>
        <v>2373.91</v>
      </c>
    </row>
    <row r="84" spans="1:20">
      <c r="A84" s="28">
        <v>45629</v>
      </c>
      <c r="B84" s="29" t="s">
        <v>144</v>
      </c>
      <c r="C84" s="29" t="s">
        <v>145</v>
      </c>
      <c r="D84" s="29" t="s">
        <v>146</v>
      </c>
      <c r="E84" s="29" t="s">
        <v>1571</v>
      </c>
      <c r="F84" s="29">
        <f t="shared" si="11"/>
        <v>2024</v>
      </c>
      <c r="G84" s="29" t="str">
        <f t="shared" si="12"/>
        <v>December</v>
      </c>
      <c r="H84" s="30">
        <v>216597</v>
      </c>
      <c r="I84" s="30">
        <v>15507</v>
      </c>
      <c r="J84" s="31">
        <v>2335</v>
      </c>
      <c r="K84" s="31">
        <v>1445</v>
      </c>
      <c r="L84" s="31">
        <v>726</v>
      </c>
      <c r="M84" s="32">
        <v>192461.62</v>
      </c>
      <c r="N84" s="32">
        <v>2305973.39</v>
      </c>
      <c r="O84" s="33">
        <f t="shared" si="15"/>
        <v>7.16</v>
      </c>
      <c r="P84" s="34">
        <f t="shared" si="13"/>
        <v>82.4246766595289</v>
      </c>
      <c r="Q84" s="35">
        <f t="shared" si="14"/>
        <v>11.9814713707595</v>
      </c>
      <c r="R84" s="35">
        <f t="shared" si="8"/>
        <v>12.4112736183659</v>
      </c>
      <c r="S84" s="33">
        <f t="shared" si="9"/>
        <v>888.57</v>
      </c>
      <c r="T84" s="36">
        <f t="shared" si="10"/>
        <v>1098.15</v>
      </c>
    </row>
    <row r="85" spans="1:20">
      <c r="A85" s="37">
        <v>45629</v>
      </c>
      <c r="B85" s="38" t="s">
        <v>13</v>
      </c>
      <c r="C85" s="38" t="s">
        <v>14</v>
      </c>
      <c r="D85" s="38" t="s">
        <v>15</v>
      </c>
      <c r="E85" s="38" t="s">
        <v>1573</v>
      </c>
      <c r="F85" s="38">
        <f t="shared" si="11"/>
        <v>2024</v>
      </c>
      <c r="G85" s="38" t="str">
        <f t="shared" si="12"/>
        <v>December</v>
      </c>
      <c r="H85" s="30">
        <v>226506</v>
      </c>
      <c r="I85" s="30">
        <v>7970</v>
      </c>
      <c r="J85" s="39">
        <v>1292</v>
      </c>
      <c r="K85" s="39">
        <v>750</v>
      </c>
      <c r="L85" s="39">
        <v>420</v>
      </c>
      <c r="M85" s="40">
        <v>175994.8</v>
      </c>
      <c r="N85" s="40">
        <v>2066586.58</v>
      </c>
      <c r="O85" s="33">
        <f t="shared" si="15"/>
        <v>3.52</v>
      </c>
      <c r="P85" s="34">
        <f t="shared" si="13"/>
        <v>136.218885448916</v>
      </c>
      <c r="Q85" s="35">
        <f t="shared" si="14"/>
        <v>11.7423161366131</v>
      </c>
      <c r="R85" s="35">
        <f t="shared" si="8"/>
        <v>22.0821580928482</v>
      </c>
      <c r="S85" s="33">
        <f t="shared" si="9"/>
        <v>777</v>
      </c>
      <c r="T85" s="36">
        <f t="shared" si="10"/>
        <v>1074.23</v>
      </c>
    </row>
    <row r="86" spans="1:20">
      <c r="A86" s="28">
        <v>45364</v>
      </c>
      <c r="B86" s="29" t="s">
        <v>144</v>
      </c>
      <c r="C86" s="29" t="s">
        <v>145</v>
      </c>
      <c r="D86" s="29" t="s">
        <v>146</v>
      </c>
      <c r="E86" s="29" t="s">
        <v>1571</v>
      </c>
      <c r="F86" s="29">
        <f t="shared" si="11"/>
        <v>2024</v>
      </c>
      <c r="G86" s="29" t="str">
        <f t="shared" si="12"/>
        <v>March</v>
      </c>
      <c r="H86" s="30">
        <v>175194</v>
      </c>
      <c r="I86" s="30">
        <v>5344</v>
      </c>
      <c r="J86" s="31">
        <v>957</v>
      </c>
      <c r="K86" s="31">
        <v>551</v>
      </c>
      <c r="L86" s="31">
        <v>261</v>
      </c>
      <c r="M86" s="32">
        <v>169204.3</v>
      </c>
      <c r="N86" s="32">
        <v>976767.04</v>
      </c>
      <c r="O86" s="33">
        <f t="shared" si="15"/>
        <v>3.05</v>
      </c>
      <c r="P86" s="34">
        <f t="shared" si="13"/>
        <v>176.807001044932</v>
      </c>
      <c r="Q86" s="35">
        <f t="shared" si="14"/>
        <v>5.77270814039596</v>
      </c>
      <c r="R86" s="35">
        <f t="shared" si="8"/>
        <v>31.6624812874251</v>
      </c>
      <c r="S86" s="33">
        <f t="shared" si="9"/>
        <v>965.81</v>
      </c>
      <c r="T86" s="36">
        <f t="shared" si="10"/>
        <v>477.27</v>
      </c>
    </row>
    <row r="87" spans="1:20">
      <c r="A87" s="37">
        <v>45364</v>
      </c>
      <c r="B87" s="38" t="s">
        <v>13</v>
      </c>
      <c r="C87" s="38" t="s">
        <v>14</v>
      </c>
      <c r="D87" s="38" t="s">
        <v>15</v>
      </c>
      <c r="E87" s="38" t="s">
        <v>1572</v>
      </c>
      <c r="F87" s="38">
        <f t="shared" si="11"/>
        <v>2024</v>
      </c>
      <c r="G87" s="38" t="str">
        <f t="shared" si="12"/>
        <v>March</v>
      </c>
      <c r="H87" s="30">
        <v>185895</v>
      </c>
      <c r="I87" s="30">
        <v>10159</v>
      </c>
      <c r="J87" s="39">
        <v>1559</v>
      </c>
      <c r="K87" s="39">
        <v>796</v>
      </c>
      <c r="L87" s="39">
        <v>319</v>
      </c>
      <c r="M87" s="40">
        <v>152446.61</v>
      </c>
      <c r="N87" s="40">
        <v>2203003.63</v>
      </c>
      <c r="O87" s="33">
        <f t="shared" si="15"/>
        <v>5.46</v>
      </c>
      <c r="P87" s="34">
        <f t="shared" si="13"/>
        <v>97.7848685054522</v>
      </c>
      <c r="Q87" s="35">
        <f t="shared" si="14"/>
        <v>14.4509847086793</v>
      </c>
      <c r="R87" s="35">
        <f t="shared" si="8"/>
        <v>15.0060645732848</v>
      </c>
      <c r="S87" s="33">
        <f t="shared" si="9"/>
        <v>820.07</v>
      </c>
      <c r="T87" s="36">
        <f t="shared" si="10"/>
        <v>1345.1</v>
      </c>
    </row>
    <row r="88" spans="1:20">
      <c r="A88" s="28">
        <v>45365</v>
      </c>
      <c r="B88" s="29" t="s">
        <v>144</v>
      </c>
      <c r="C88" s="29" t="s">
        <v>145</v>
      </c>
      <c r="D88" s="29" t="s">
        <v>146</v>
      </c>
      <c r="E88" s="29" t="s">
        <v>1571</v>
      </c>
      <c r="F88" s="29">
        <f t="shared" si="11"/>
        <v>2024</v>
      </c>
      <c r="G88" s="29" t="str">
        <f t="shared" si="12"/>
        <v>March</v>
      </c>
      <c r="H88" s="30">
        <v>188495</v>
      </c>
      <c r="I88" s="30">
        <v>10549</v>
      </c>
      <c r="J88" s="31">
        <v>1800</v>
      </c>
      <c r="K88" s="31">
        <v>1004</v>
      </c>
      <c r="L88" s="31">
        <v>441</v>
      </c>
      <c r="M88" s="32">
        <v>182807.04</v>
      </c>
      <c r="N88" s="32">
        <v>2268459.24</v>
      </c>
      <c r="O88" s="33">
        <f t="shared" si="15"/>
        <v>5.6</v>
      </c>
      <c r="P88" s="34">
        <f t="shared" si="13"/>
        <v>101.559466666667</v>
      </c>
      <c r="Q88" s="35">
        <f t="shared" si="14"/>
        <v>12.4090365447633</v>
      </c>
      <c r="R88" s="35">
        <f t="shared" si="8"/>
        <v>17.3293241065504</v>
      </c>
      <c r="S88" s="33">
        <f t="shared" si="9"/>
        <v>969.82</v>
      </c>
      <c r="T88" s="36">
        <f t="shared" si="10"/>
        <v>1140.9</v>
      </c>
    </row>
    <row r="89" spans="1:20">
      <c r="A89" s="37">
        <v>45365</v>
      </c>
      <c r="B89" s="38" t="s">
        <v>13</v>
      </c>
      <c r="C89" s="38" t="s">
        <v>14</v>
      </c>
      <c r="D89" s="38" t="s">
        <v>15</v>
      </c>
      <c r="E89" s="38" t="s">
        <v>1572</v>
      </c>
      <c r="F89" s="38">
        <f t="shared" si="11"/>
        <v>2024</v>
      </c>
      <c r="G89" s="38" t="str">
        <f t="shared" si="12"/>
        <v>March</v>
      </c>
      <c r="H89" s="30">
        <v>61348</v>
      </c>
      <c r="I89" s="30">
        <v>4749</v>
      </c>
      <c r="J89" s="39">
        <v>863</v>
      </c>
      <c r="K89" s="39">
        <v>560</v>
      </c>
      <c r="L89" s="39">
        <v>278</v>
      </c>
      <c r="M89" s="40">
        <v>41334.61</v>
      </c>
      <c r="N89" s="40">
        <v>2016292.77</v>
      </c>
      <c r="O89" s="33">
        <f t="shared" si="15"/>
        <v>7.74</v>
      </c>
      <c r="P89" s="34">
        <f t="shared" si="13"/>
        <v>47.8964194669757</v>
      </c>
      <c r="Q89" s="35">
        <f t="shared" si="14"/>
        <v>48.7797700280709</v>
      </c>
      <c r="R89" s="35">
        <f t="shared" si="8"/>
        <v>8.70385554853653</v>
      </c>
      <c r="S89" s="33">
        <f t="shared" si="9"/>
        <v>673.77</v>
      </c>
      <c r="T89" s="36">
        <f t="shared" si="10"/>
        <v>4777.98</v>
      </c>
    </row>
    <row r="90" spans="1:20">
      <c r="A90" s="28">
        <v>45366</v>
      </c>
      <c r="B90" s="29" t="s">
        <v>144</v>
      </c>
      <c r="C90" s="29" t="s">
        <v>145</v>
      </c>
      <c r="D90" s="29" t="s">
        <v>146</v>
      </c>
      <c r="E90" s="29" t="s">
        <v>1571</v>
      </c>
      <c r="F90" s="29">
        <f t="shared" si="11"/>
        <v>2024</v>
      </c>
      <c r="G90" s="29" t="str">
        <f t="shared" si="12"/>
        <v>March</v>
      </c>
      <c r="H90" s="30">
        <v>100344</v>
      </c>
      <c r="I90" s="30">
        <v>8008</v>
      </c>
      <c r="J90" s="31">
        <v>1473</v>
      </c>
      <c r="K90" s="31">
        <v>816</v>
      </c>
      <c r="L90" s="31">
        <v>424</v>
      </c>
      <c r="M90" s="32">
        <v>77929.71</v>
      </c>
      <c r="N90" s="32">
        <v>1344335.07</v>
      </c>
      <c r="O90" s="33">
        <f t="shared" si="15"/>
        <v>7.98</v>
      </c>
      <c r="P90" s="34">
        <f t="shared" si="13"/>
        <v>52.9054378818737</v>
      </c>
      <c r="Q90" s="35">
        <f t="shared" si="14"/>
        <v>17.2506104539591</v>
      </c>
      <c r="R90" s="35">
        <f t="shared" si="8"/>
        <v>9.73148226773227</v>
      </c>
      <c r="S90" s="33">
        <f t="shared" si="9"/>
        <v>776.63</v>
      </c>
      <c r="T90" s="36">
        <f t="shared" si="10"/>
        <v>1625.06</v>
      </c>
    </row>
    <row r="91" spans="1:20">
      <c r="A91" s="37">
        <v>45366</v>
      </c>
      <c r="B91" s="38" t="s">
        <v>13</v>
      </c>
      <c r="C91" s="38" t="s">
        <v>14</v>
      </c>
      <c r="D91" s="38" t="s">
        <v>15</v>
      </c>
      <c r="E91" s="38" t="s">
        <v>1572</v>
      </c>
      <c r="F91" s="38">
        <f t="shared" si="11"/>
        <v>2024</v>
      </c>
      <c r="G91" s="38" t="str">
        <f t="shared" si="12"/>
        <v>March</v>
      </c>
      <c r="H91" s="30">
        <v>194652</v>
      </c>
      <c r="I91" s="30">
        <v>12957</v>
      </c>
      <c r="J91" s="39">
        <v>2628</v>
      </c>
      <c r="K91" s="39">
        <v>1452</v>
      </c>
      <c r="L91" s="39">
        <v>793</v>
      </c>
      <c r="M91" s="40">
        <v>188268.91</v>
      </c>
      <c r="N91" s="40">
        <v>5847270.23</v>
      </c>
      <c r="O91" s="33">
        <f t="shared" si="15"/>
        <v>6.66</v>
      </c>
      <c r="P91" s="34">
        <f t="shared" si="13"/>
        <v>71.6396156773212</v>
      </c>
      <c r="Q91" s="35">
        <f t="shared" si="14"/>
        <v>31.058076609675</v>
      </c>
      <c r="R91" s="35">
        <f t="shared" si="8"/>
        <v>14.530285559929</v>
      </c>
      <c r="S91" s="33">
        <f t="shared" si="9"/>
        <v>967.21</v>
      </c>
      <c r="T91" s="36">
        <f t="shared" si="10"/>
        <v>3005.81</v>
      </c>
    </row>
    <row r="92" spans="1:20">
      <c r="A92" s="28">
        <v>45367</v>
      </c>
      <c r="B92" s="29" t="s">
        <v>144</v>
      </c>
      <c r="C92" s="29" t="s">
        <v>145</v>
      </c>
      <c r="D92" s="29" t="s">
        <v>146</v>
      </c>
      <c r="E92" s="29" t="s">
        <v>1571</v>
      </c>
      <c r="F92" s="29">
        <f t="shared" si="11"/>
        <v>2024</v>
      </c>
      <c r="G92" s="29" t="str">
        <f t="shared" si="12"/>
        <v>March</v>
      </c>
      <c r="H92" s="30">
        <v>275868</v>
      </c>
      <c r="I92" s="30">
        <v>10436</v>
      </c>
      <c r="J92" s="31">
        <v>1877</v>
      </c>
      <c r="K92" s="31">
        <v>1023</v>
      </c>
      <c r="L92" s="31">
        <v>453</v>
      </c>
      <c r="M92" s="32">
        <v>133644.66</v>
      </c>
      <c r="N92" s="32">
        <v>2895845.33</v>
      </c>
      <c r="O92" s="33">
        <f t="shared" si="15"/>
        <v>3.78</v>
      </c>
      <c r="P92" s="34">
        <f t="shared" si="13"/>
        <v>71.2012040490144</v>
      </c>
      <c r="Q92" s="35">
        <f t="shared" si="14"/>
        <v>21.6682457046918</v>
      </c>
      <c r="R92" s="35">
        <f t="shared" si="8"/>
        <v>12.8061192027597</v>
      </c>
      <c r="S92" s="33">
        <f t="shared" si="9"/>
        <v>484.45</v>
      </c>
      <c r="T92" s="36">
        <f t="shared" si="10"/>
        <v>2066.82</v>
      </c>
    </row>
    <row r="93" spans="1:20">
      <c r="A93" s="37">
        <v>45367</v>
      </c>
      <c r="B93" s="38" t="s">
        <v>13</v>
      </c>
      <c r="C93" s="38" t="s">
        <v>14</v>
      </c>
      <c r="D93" s="38" t="s">
        <v>15</v>
      </c>
      <c r="E93" s="38" t="s">
        <v>1572</v>
      </c>
      <c r="F93" s="38">
        <f t="shared" si="11"/>
        <v>2024</v>
      </c>
      <c r="G93" s="38" t="str">
        <f t="shared" si="12"/>
        <v>March</v>
      </c>
      <c r="H93" s="30">
        <v>144241</v>
      </c>
      <c r="I93" s="30">
        <v>6954</v>
      </c>
      <c r="J93" s="39">
        <v>1273</v>
      </c>
      <c r="K93" s="39">
        <v>706</v>
      </c>
      <c r="L93" s="39">
        <v>292</v>
      </c>
      <c r="M93" s="40">
        <v>70141.8</v>
      </c>
      <c r="N93" s="40">
        <v>1034342.01</v>
      </c>
      <c r="O93" s="33">
        <f t="shared" si="15"/>
        <v>4.82</v>
      </c>
      <c r="P93" s="34">
        <f t="shared" si="13"/>
        <v>55.0996072270228</v>
      </c>
      <c r="Q93" s="35">
        <f t="shared" si="14"/>
        <v>14.7464423496403</v>
      </c>
      <c r="R93" s="35">
        <f t="shared" si="8"/>
        <v>10.0865401207938</v>
      </c>
      <c r="S93" s="33">
        <f t="shared" si="9"/>
        <v>486.28</v>
      </c>
      <c r="T93" s="36">
        <f t="shared" si="10"/>
        <v>1374.64</v>
      </c>
    </row>
    <row r="94" spans="1:20">
      <c r="A94" s="28">
        <v>45368</v>
      </c>
      <c r="B94" s="29" t="s">
        <v>144</v>
      </c>
      <c r="C94" s="29" t="s">
        <v>145</v>
      </c>
      <c r="D94" s="29" t="s">
        <v>146</v>
      </c>
      <c r="E94" s="29" t="s">
        <v>1571</v>
      </c>
      <c r="F94" s="29">
        <f t="shared" si="11"/>
        <v>2024</v>
      </c>
      <c r="G94" s="29" t="str">
        <f t="shared" si="12"/>
        <v>March</v>
      </c>
      <c r="H94" s="30">
        <v>292584</v>
      </c>
      <c r="I94" s="30">
        <v>23331</v>
      </c>
      <c r="J94" s="31">
        <v>3605</v>
      </c>
      <c r="K94" s="31">
        <v>1899</v>
      </c>
      <c r="L94" s="31">
        <v>921</v>
      </c>
      <c r="M94" s="32">
        <v>169598.15</v>
      </c>
      <c r="N94" s="32">
        <v>3162278.82</v>
      </c>
      <c r="O94" s="33">
        <f t="shared" si="15"/>
        <v>7.97</v>
      </c>
      <c r="P94" s="34">
        <f t="shared" si="13"/>
        <v>47.0452565880721</v>
      </c>
      <c r="Q94" s="35">
        <f t="shared" si="14"/>
        <v>18.6457152981916</v>
      </c>
      <c r="R94" s="35">
        <f t="shared" si="8"/>
        <v>7.26921906476362</v>
      </c>
      <c r="S94" s="33">
        <f t="shared" si="9"/>
        <v>579.66</v>
      </c>
      <c r="T94" s="36">
        <f t="shared" si="10"/>
        <v>1764.57</v>
      </c>
    </row>
    <row r="95" spans="1:20">
      <c r="A95" s="37">
        <v>45368</v>
      </c>
      <c r="B95" s="38" t="s">
        <v>13</v>
      </c>
      <c r="C95" s="38" t="s">
        <v>14</v>
      </c>
      <c r="D95" s="38" t="s">
        <v>15</v>
      </c>
      <c r="E95" s="38" t="s">
        <v>1573</v>
      </c>
      <c r="F95" s="38">
        <f t="shared" si="11"/>
        <v>2024</v>
      </c>
      <c r="G95" s="38" t="str">
        <f t="shared" si="12"/>
        <v>March</v>
      </c>
      <c r="H95" s="30">
        <v>117460</v>
      </c>
      <c r="I95" s="30">
        <v>8173</v>
      </c>
      <c r="J95" s="39">
        <v>1756</v>
      </c>
      <c r="K95" s="39">
        <v>887</v>
      </c>
      <c r="L95" s="39">
        <v>365</v>
      </c>
      <c r="M95" s="40">
        <v>93791.14</v>
      </c>
      <c r="N95" s="40">
        <v>1580107.16</v>
      </c>
      <c r="O95" s="33">
        <f t="shared" si="15"/>
        <v>6.96</v>
      </c>
      <c r="P95" s="34">
        <f t="shared" si="13"/>
        <v>53.4118109339408</v>
      </c>
      <c r="Q95" s="35">
        <f t="shared" si="14"/>
        <v>16.8470834238714</v>
      </c>
      <c r="R95" s="35">
        <f t="shared" si="8"/>
        <v>11.4757298421632</v>
      </c>
      <c r="S95" s="33">
        <f t="shared" si="9"/>
        <v>798.49</v>
      </c>
      <c r="T95" s="36">
        <f t="shared" si="10"/>
        <v>1584.71</v>
      </c>
    </row>
    <row r="96" spans="1:20">
      <c r="A96" s="28">
        <v>45369</v>
      </c>
      <c r="B96" s="29" t="s">
        <v>144</v>
      </c>
      <c r="C96" s="29" t="s">
        <v>145</v>
      </c>
      <c r="D96" s="29" t="s">
        <v>146</v>
      </c>
      <c r="E96" s="29" t="s">
        <v>1571</v>
      </c>
      <c r="F96" s="29">
        <f t="shared" si="11"/>
        <v>2024</v>
      </c>
      <c r="G96" s="29" t="str">
        <f t="shared" si="12"/>
        <v>March</v>
      </c>
      <c r="H96" s="30">
        <v>160356</v>
      </c>
      <c r="I96" s="30">
        <v>10619</v>
      </c>
      <c r="J96" s="31">
        <v>2317</v>
      </c>
      <c r="K96" s="31">
        <v>1167</v>
      </c>
      <c r="L96" s="31">
        <v>687</v>
      </c>
      <c r="M96" s="32">
        <v>89639.34</v>
      </c>
      <c r="N96" s="32">
        <v>4671783.2</v>
      </c>
      <c r="O96" s="33">
        <f t="shared" si="15"/>
        <v>6.62</v>
      </c>
      <c r="P96" s="34">
        <f t="shared" si="13"/>
        <v>38.6876737160121</v>
      </c>
      <c r="Q96" s="35">
        <f t="shared" si="14"/>
        <v>52.1175546361676</v>
      </c>
      <c r="R96" s="35">
        <f t="shared" si="8"/>
        <v>8.44141067897165</v>
      </c>
      <c r="S96" s="33">
        <f t="shared" si="9"/>
        <v>559</v>
      </c>
      <c r="T96" s="36">
        <f t="shared" si="10"/>
        <v>5111.76</v>
      </c>
    </row>
    <row r="97" spans="1:20">
      <c r="A97" s="37">
        <v>45369</v>
      </c>
      <c r="B97" s="38" t="s">
        <v>13</v>
      </c>
      <c r="C97" s="38" t="s">
        <v>14</v>
      </c>
      <c r="D97" s="38" t="s">
        <v>15</v>
      </c>
      <c r="E97" s="38" t="s">
        <v>1571</v>
      </c>
      <c r="F97" s="38">
        <f t="shared" si="11"/>
        <v>2024</v>
      </c>
      <c r="G97" s="38" t="str">
        <f t="shared" si="12"/>
        <v>March</v>
      </c>
      <c r="H97" s="30">
        <v>58163</v>
      </c>
      <c r="I97" s="30">
        <v>3769</v>
      </c>
      <c r="J97" s="39">
        <v>797</v>
      </c>
      <c r="K97" s="39">
        <v>395</v>
      </c>
      <c r="L97" s="39">
        <v>178</v>
      </c>
      <c r="M97" s="40">
        <v>25554.54</v>
      </c>
      <c r="N97" s="40">
        <v>1293768.14</v>
      </c>
      <c r="O97" s="33">
        <f t="shared" si="15"/>
        <v>6.48</v>
      </c>
      <c r="P97" s="34">
        <f t="shared" si="13"/>
        <v>32.0634127979925</v>
      </c>
      <c r="Q97" s="35">
        <f t="shared" si="14"/>
        <v>50.6277217277243</v>
      </c>
      <c r="R97" s="35">
        <f t="shared" si="8"/>
        <v>6.78019103210401</v>
      </c>
      <c r="S97" s="33">
        <f t="shared" si="9"/>
        <v>439.36</v>
      </c>
      <c r="T97" s="36">
        <f t="shared" si="10"/>
        <v>4962.77</v>
      </c>
    </row>
    <row r="98" spans="1:20">
      <c r="A98" s="28">
        <v>45370</v>
      </c>
      <c r="B98" s="29" t="s">
        <v>144</v>
      </c>
      <c r="C98" s="29" t="s">
        <v>145</v>
      </c>
      <c r="D98" s="29" t="s">
        <v>146</v>
      </c>
      <c r="E98" s="29" t="s">
        <v>1571</v>
      </c>
      <c r="F98" s="29">
        <f t="shared" si="11"/>
        <v>2024</v>
      </c>
      <c r="G98" s="29" t="str">
        <f t="shared" si="12"/>
        <v>March</v>
      </c>
      <c r="H98" s="30">
        <v>172256</v>
      </c>
      <c r="I98" s="30">
        <v>8896</v>
      </c>
      <c r="J98" s="31">
        <v>2048</v>
      </c>
      <c r="K98" s="31">
        <v>985</v>
      </c>
      <c r="L98" s="31">
        <v>576</v>
      </c>
      <c r="M98" s="32">
        <v>152568.15</v>
      </c>
      <c r="N98" s="32">
        <v>1915389.82</v>
      </c>
      <c r="O98" s="33">
        <f t="shared" si="15"/>
        <v>5.16</v>
      </c>
      <c r="P98" s="34">
        <f t="shared" si="13"/>
        <v>74.4961669921875</v>
      </c>
      <c r="Q98" s="35">
        <f t="shared" si="14"/>
        <v>12.5543229042235</v>
      </c>
      <c r="R98" s="35">
        <f t="shared" si="8"/>
        <v>17.1501967176259</v>
      </c>
      <c r="S98" s="33">
        <f t="shared" si="9"/>
        <v>885.71</v>
      </c>
      <c r="T98" s="36">
        <f t="shared" si="10"/>
        <v>1155.43</v>
      </c>
    </row>
    <row r="99" spans="1:20">
      <c r="A99" s="37">
        <v>45370</v>
      </c>
      <c r="B99" s="38" t="s">
        <v>13</v>
      </c>
      <c r="C99" s="38" t="s">
        <v>14</v>
      </c>
      <c r="D99" s="38" t="s">
        <v>15</v>
      </c>
      <c r="E99" s="38" t="s">
        <v>1571</v>
      </c>
      <c r="F99" s="38">
        <f t="shared" si="11"/>
        <v>2024</v>
      </c>
      <c r="G99" s="38" t="str">
        <f t="shared" si="12"/>
        <v>March</v>
      </c>
      <c r="H99" s="30">
        <v>258133</v>
      </c>
      <c r="I99" s="30">
        <v>14755</v>
      </c>
      <c r="J99" s="39">
        <v>2438</v>
      </c>
      <c r="K99" s="39">
        <v>1536</v>
      </c>
      <c r="L99" s="39">
        <v>617</v>
      </c>
      <c r="M99" s="40">
        <v>103655.55</v>
      </c>
      <c r="N99" s="40">
        <v>4524608.51</v>
      </c>
      <c r="O99" s="33">
        <f t="shared" si="15"/>
        <v>5.72</v>
      </c>
      <c r="P99" s="34">
        <f t="shared" si="13"/>
        <v>42.516632485644</v>
      </c>
      <c r="Q99" s="35">
        <f t="shared" si="14"/>
        <v>43.6504220951025</v>
      </c>
      <c r="R99" s="35">
        <f t="shared" si="8"/>
        <v>7.02511352084039</v>
      </c>
      <c r="S99" s="33">
        <f t="shared" si="9"/>
        <v>401.56</v>
      </c>
      <c r="T99" s="36">
        <f t="shared" si="10"/>
        <v>4265.04</v>
      </c>
    </row>
    <row r="100" spans="1:20">
      <c r="A100" s="28">
        <v>45371</v>
      </c>
      <c r="B100" s="29" t="s">
        <v>144</v>
      </c>
      <c r="C100" s="29" t="s">
        <v>145</v>
      </c>
      <c r="D100" s="29" t="s">
        <v>146</v>
      </c>
      <c r="E100" s="29" t="s">
        <v>1571</v>
      </c>
      <c r="F100" s="29">
        <f t="shared" si="11"/>
        <v>2024</v>
      </c>
      <c r="G100" s="29" t="str">
        <f t="shared" si="12"/>
        <v>March</v>
      </c>
      <c r="H100" s="30">
        <v>203648</v>
      </c>
      <c r="I100" s="30">
        <v>8947</v>
      </c>
      <c r="J100" s="31">
        <v>1995</v>
      </c>
      <c r="K100" s="31">
        <v>1108</v>
      </c>
      <c r="L100" s="31">
        <v>625</v>
      </c>
      <c r="M100" s="32">
        <v>126623.75</v>
      </c>
      <c r="N100" s="32">
        <v>3738989.85</v>
      </c>
      <c r="O100" s="33">
        <f t="shared" si="15"/>
        <v>4.39</v>
      </c>
      <c r="P100" s="34">
        <f t="shared" si="13"/>
        <v>63.4705513784461</v>
      </c>
      <c r="Q100" s="35">
        <f t="shared" si="14"/>
        <v>29.5283455907758</v>
      </c>
      <c r="R100" s="35">
        <f t="shared" si="8"/>
        <v>14.1526489326031</v>
      </c>
      <c r="S100" s="33">
        <f t="shared" si="9"/>
        <v>621.78</v>
      </c>
      <c r="T100" s="36">
        <f t="shared" si="10"/>
        <v>2852.83</v>
      </c>
    </row>
    <row r="101" spans="1:20">
      <c r="A101" s="37">
        <v>45371</v>
      </c>
      <c r="B101" s="38" t="s">
        <v>13</v>
      </c>
      <c r="C101" s="38" t="s">
        <v>14</v>
      </c>
      <c r="D101" s="38" t="s">
        <v>15</v>
      </c>
      <c r="E101" s="38" t="s">
        <v>1572</v>
      </c>
      <c r="F101" s="38">
        <f t="shared" si="11"/>
        <v>2024</v>
      </c>
      <c r="G101" s="38" t="str">
        <f t="shared" si="12"/>
        <v>March</v>
      </c>
      <c r="H101" s="30">
        <v>219527</v>
      </c>
      <c r="I101" s="30">
        <v>10693</v>
      </c>
      <c r="J101" s="39">
        <v>1929</v>
      </c>
      <c r="K101" s="39">
        <v>990</v>
      </c>
      <c r="L101" s="39">
        <v>415</v>
      </c>
      <c r="M101" s="40">
        <v>203424</v>
      </c>
      <c r="N101" s="40">
        <v>2119680.17</v>
      </c>
      <c r="O101" s="33">
        <f t="shared" si="15"/>
        <v>4.87</v>
      </c>
      <c r="P101" s="34">
        <f t="shared" si="13"/>
        <v>105.45567651633</v>
      </c>
      <c r="Q101" s="35">
        <f t="shared" si="14"/>
        <v>10.4200102741073</v>
      </c>
      <c r="R101" s="35">
        <f t="shared" ref="R101:R164" si="16">(M101/I101)</f>
        <v>19.0240344150379</v>
      </c>
      <c r="S101" s="33">
        <f t="shared" si="9"/>
        <v>926.65</v>
      </c>
      <c r="T101" s="36">
        <f t="shared" si="10"/>
        <v>942</v>
      </c>
    </row>
    <row r="102" spans="1:20">
      <c r="A102" s="28">
        <v>45372</v>
      </c>
      <c r="B102" s="29" t="s">
        <v>144</v>
      </c>
      <c r="C102" s="29" t="s">
        <v>145</v>
      </c>
      <c r="D102" s="29" t="s">
        <v>146</v>
      </c>
      <c r="E102" s="29" t="s">
        <v>1571</v>
      </c>
      <c r="F102" s="29">
        <f t="shared" si="11"/>
        <v>2024</v>
      </c>
      <c r="G102" s="29" t="str">
        <f t="shared" si="12"/>
        <v>March</v>
      </c>
      <c r="H102" s="30">
        <v>85480</v>
      </c>
      <c r="I102" s="30">
        <v>4749</v>
      </c>
      <c r="J102" s="31">
        <v>1166</v>
      </c>
      <c r="K102" s="31">
        <v>617</v>
      </c>
      <c r="L102" s="31">
        <v>295</v>
      </c>
      <c r="M102" s="32">
        <v>77652.63</v>
      </c>
      <c r="N102" s="32">
        <v>1845721.68</v>
      </c>
      <c r="O102" s="33">
        <f t="shared" si="15"/>
        <v>5.56</v>
      </c>
      <c r="P102" s="34">
        <f t="shared" si="13"/>
        <v>66.5974528301887</v>
      </c>
      <c r="Q102" s="35">
        <f t="shared" si="14"/>
        <v>23.7689525776526</v>
      </c>
      <c r="R102" s="35">
        <f t="shared" si="16"/>
        <v>16.351364497789</v>
      </c>
      <c r="S102" s="33">
        <f t="shared" si="9"/>
        <v>908.43</v>
      </c>
      <c r="T102" s="36">
        <f t="shared" si="10"/>
        <v>2276.9</v>
      </c>
    </row>
    <row r="103" spans="1:20">
      <c r="A103" s="37">
        <v>45372</v>
      </c>
      <c r="B103" s="38" t="s">
        <v>13</v>
      </c>
      <c r="C103" s="38" t="s">
        <v>14</v>
      </c>
      <c r="D103" s="38" t="s">
        <v>15</v>
      </c>
      <c r="E103" s="38" t="s">
        <v>1571</v>
      </c>
      <c r="F103" s="38">
        <f t="shared" si="11"/>
        <v>2024</v>
      </c>
      <c r="G103" s="38" t="str">
        <f t="shared" si="12"/>
        <v>March</v>
      </c>
      <c r="H103" s="30">
        <v>284030</v>
      </c>
      <c r="I103" s="30">
        <v>14236</v>
      </c>
      <c r="J103" s="39">
        <v>2183</v>
      </c>
      <c r="K103" s="39">
        <v>1152</v>
      </c>
      <c r="L103" s="39">
        <v>592</v>
      </c>
      <c r="M103" s="40">
        <v>262334.25</v>
      </c>
      <c r="N103" s="40">
        <v>2663779.71</v>
      </c>
      <c r="O103" s="33">
        <f t="shared" si="15"/>
        <v>5.01</v>
      </c>
      <c r="P103" s="34">
        <f t="shared" si="13"/>
        <v>120.17143838754</v>
      </c>
      <c r="Q103" s="35">
        <f t="shared" si="14"/>
        <v>10.1541438451136</v>
      </c>
      <c r="R103" s="35">
        <f t="shared" si="16"/>
        <v>18.4275252880022</v>
      </c>
      <c r="S103" s="33">
        <f t="shared" si="9"/>
        <v>923.61</v>
      </c>
      <c r="T103" s="36">
        <f t="shared" si="10"/>
        <v>915.41</v>
      </c>
    </row>
    <row r="104" spans="1:20">
      <c r="A104" s="28">
        <v>45373</v>
      </c>
      <c r="B104" s="29" t="s">
        <v>144</v>
      </c>
      <c r="C104" s="29" t="s">
        <v>145</v>
      </c>
      <c r="D104" s="29" t="s">
        <v>146</v>
      </c>
      <c r="E104" s="29" t="s">
        <v>1571</v>
      </c>
      <c r="F104" s="29">
        <f t="shared" si="11"/>
        <v>2024</v>
      </c>
      <c r="G104" s="29" t="str">
        <f t="shared" si="12"/>
        <v>March</v>
      </c>
      <c r="H104" s="30">
        <v>298776</v>
      </c>
      <c r="I104" s="30">
        <v>13733</v>
      </c>
      <c r="J104" s="31">
        <v>2795</v>
      </c>
      <c r="K104" s="31">
        <v>1309</v>
      </c>
      <c r="L104" s="31">
        <v>703</v>
      </c>
      <c r="M104" s="32">
        <v>212229.85</v>
      </c>
      <c r="N104" s="32">
        <v>5350895.6</v>
      </c>
      <c r="O104" s="33">
        <f t="shared" si="15"/>
        <v>4.6</v>
      </c>
      <c r="P104" s="34">
        <f t="shared" si="13"/>
        <v>75.9319677996422</v>
      </c>
      <c r="Q104" s="35">
        <f t="shared" si="14"/>
        <v>25.2127379819568</v>
      </c>
      <c r="R104" s="35">
        <f t="shared" si="16"/>
        <v>15.4540049515765</v>
      </c>
      <c r="S104" s="33">
        <f t="shared" si="9"/>
        <v>710.33</v>
      </c>
      <c r="T104" s="36">
        <f t="shared" si="10"/>
        <v>2421.27</v>
      </c>
    </row>
    <row r="105" spans="1:20">
      <c r="A105" s="37">
        <v>45373</v>
      </c>
      <c r="B105" s="38" t="s">
        <v>13</v>
      </c>
      <c r="C105" s="38" t="s">
        <v>14</v>
      </c>
      <c r="D105" s="38" t="s">
        <v>15</v>
      </c>
      <c r="E105" s="38" t="s">
        <v>1572</v>
      </c>
      <c r="F105" s="38">
        <f t="shared" si="11"/>
        <v>2024</v>
      </c>
      <c r="G105" s="38" t="str">
        <f t="shared" si="12"/>
        <v>March</v>
      </c>
      <c r="H105" s="30">
        <v>64434</v>
      </c>
      <c r="I105" s="30">
        <v>3679</v>
      </c>
      <c r="J105" s="39">
        <v>729</v>
      </c>
      <c r="K105" s="39">
        <v>397</v>
      </c>
      <c r="L105" s="39">
        <v>235</v>
      </c>
      <c r="M105" s="40">
        <v>59041.52</v>
      </c>
      <c r="N105" s="40">
        <v>1242049.05</v>
      </c>
      <c r="O105" s="33">
        <f t="shared" si="15"/>
        <v>5.71</v>
      </c>
      <c r="P105" s="34">
        <f t="shared" si="13"/>
        <v>80.9897393689986</v>
      </c>
      <c r="Q105" s="35">
        <f t="shared" si="14"/>
        <v>21.0368745587851</v>
      </c>
      <c r="R105" s="35">
        <f t="shared" si="16"/>
        <v>16.0482522424572</v>
      </c>
      <c r="S105" s="33">
        <f t="shared" ref="S105:S168" si="17">ROUND(M105/H105*1000,2)</f>
        <v>916.31</v>
      </c>
      <c r="T105" s="36">
        <f t="shared" si="10"/>
        <v>2003.69</v>
      </c>
    </row>
    <row r="106" spans="1:20">
      <c r="A106" s="28">
        <v>45374</v>
      </c>
      <c r="B106" s="29" t="s">
        <v>144</v>
      </c>
      <c r="C106" s="29" t="s">
        <v>145</v>
      </c>
      <c r="D106" s="29" t="s">
        <v>146</v>
      </c>
      <c r="E106" s="29" t="s">
        <v>1571</v>
      </c>
      <c r="F106" s="29">
        <f t="shared" si="11"/>
        <v>2024</v>
      </c>
      <c r="G106" s="29" t="str">
        <f t="shared" si="12"/>
        <v>March</v>
      </c>
      <c r="H106" s="30">
        <v>245366</v>
      </c>
      <c r="I106" s="30">
        <v>12959</v>
      </c>
      <c r="J106" s="31">
        <v>2802</v>
      </c>
      <c r="K106" s="31">
        <v>1515</v>
      </c>
      <c r="L106" s="31">
        <v>836</v>
      </c>
      <c r="M106" s="32">
        <v>241060.05</v>
      </c>
      <c r="N106" s="32">
        <v>6091993.93</v>
      </c>
      <c r="O106" s="33">
        <f t="shared" si="15"/>
        <v>5.28</v>
      </c>
      <c r="P106" s="34">
        <f t="shared" si="13"/>
        <v>86.0314239828694</v>
      </c>
      <c r="Q106" s="35">
        <f t="shared" si="14"/>
        <v>25.2716861628461</v>
      </c>
      <c r="R106" s="35">
        <f t="shared" si="16"/>
        <v>18.6017478200478</v>
      </c>
      <c r="S106" s="33">
        <f t="shared" si="17"/>
        <v>982.45</v>
      </c>
      <c r="T106" s="36">
        <f t="shared" si="10"/>
        <v>2427.17</v>
      </c>
    </row>
    <row r="107" spans="1:20">
      <c r="A107" s="37">
        <v>45374</v>
      </c>
      <c r="B107" s="38" t="s">
        <v>13</v>
      </c>
      <c r="C107" s="38" t="s">
        <v>14</v>
      </c>
      <c r="D107" s="38" t="s">
        <v>15</v>
      </c>
      <c r="E107" s="38" t="s">
        <v>1573</v>
      </c>
      <c r="F107" s="38">
        <f t="shared" si="11"/>
        <v>2024</v>
      </c>
      <c r="G107" s="38" t="str">
        <f t="shared" si="12"/>
        <v>March</v>
      </c>
      <c r="H107" s="30">
        <v>53724</v>
      </c>
      <c r="I107" s="30">
        <v>1683</v>
      </c>
      <c r="J107" s="39">
        <v>344</v>
      </c>
      <c r="K107" s="39">
        <v>159</v>
      </c>
      <c r="L107" s="39">
        <v>73</v>
      </c>
      <c r="M107" s="40">
        <v>49801.33</v>
      </c>
      <c r="N107" s="40">
        <v>513709.91</v>
      </c>
      <c r="O107" s="33">
        <f t="shared" si="15"/>
        <v>3.13</v>
      </c>
      <c r="P107" s="34">
        <f t="shared" si="13"/>
        <v>144.771308139535</v>
      </c>
      <c r="Q107" s="35">
        <f t="shared" si="14"/>
        <v>10.3151845543081</v>
      </c>
      <c r="R107" s="35">
        <f t="shared" si="16"/>
        <v>29.5908080808081</v>
      </c>
      <c r="S107" s="33">
        <f t="shared" si="17"/>
        <v>926.98</v>
      </c>
      <c r="T107" s="36">
        <f t="shared" si="10"/>
        <v>931.52</v>
      </c>
    </row>
    <row r="108" spans="1:20">
      <c r="A108" s="28">
        <v>45375</v>
      </c>
      <c r="B108" s="29" t="s">
        <v>144</v>
      </c>
      <c r="C108" s="29" t="s">
        <v>145</v>
      </c>
      <c r="D108" s="29" t="s">
        <v>146</v>
      </c>
      <c r="E108" s="29" t="s">
        <v>1571</v>
      </c>
      <c r="F108" s="29">
        <f t="shared" si="11"/>
        <v>2024</v>
      </c>
      <c r="G108" s="29" t="str">
        <f t="shared" si="12"/>
        <v>March</v>
      </c>
      <c r="H108" s="30">
        <v>240769</v>
      </c>
      <c r="I108" s="30">
        <v>8468</v>
      </c>
      <c r="J108" s="31">
        <v>1835</v>
      </c>
      <c r="K108" s="31">
        <v>987</v>
      </c>
      <c r="L108" s="31">
        <v>400</v>
      </c>
      <c r="M108" s="32">
        <v>145335.12</v>
      </c>
      <c r="N108" s="32">
        <v>2921642.34</v>
      </c>
      <c r="O108" s="33">
        <f t="shared" si="15"/>
        <v>3.52</v>
      </c>
      <c r="P108" s="34">
        <f t="shared" si="13"/>
        <v>79.2017002724796</v>
      </c>
      <c r="Q108" s="35">
        <f t="shared" si="14"/>
        <v>20.1027964885569</v>
      </c>
      <c r="R108" s="35">
        <f t="shared" si="16"/>
        <v>17.1628625413321</v>
      </c>
      <c r="S108" s="33">
        <f t="shared" si="17"/>
        <v>603.63</v>
      </c>
      <c r="T108" s="36">
        <f t="shared" si="10"/>
        <v>1910.28</v>
      </c>
    </row>
    <row r="109" spans="1:20">
      <c r="A109" s="37">
        <v>45375</v>
      </c>
      <c r="B109" s="38" t="s">
        <v>13</v>
      </c>
      <c r="C109" s="38" t="s">
        <v>14</v>
      </c>
      <c r="D109" s="38" t="s">
        <v>15</v>
      </c>
      <c r="E109" s="38" t="s">
        <v>1571</v>
      </c>
      <c r="F109" s="38">
        <f t="shared" si="11"/>
        <v>2024</v>
      </c>
      <c r="G109" s="38" t="str">
        <f t="shared" si="12"/>
        <v>March</v>
      </c>
      <c r="H109" s="30">
        <v>79876</v>
      </c>
      <c r="I109" s="30">
        <v>4171</v>
      </c>
      <c r="J109" s="39">
        <v>757</v>
      </c>
      <c r="K109" s="39">
        <v>434</v>
      </c>
      <c r="L109" s="39">
        <v>226</v>
      </c>
      <c r="M109" s="40">
        <v>75946.35</v>
      </c>
      <c r="N109" s="40">
        <v>1660035.68</v>
      </c>
      <c r="O109" s="33">
        <f t="shared" si="15"/>
        <v>5.22</v>
      </c>
      <c r="P109" s="34">
        <f t="shared" si="13"/>
        <v>100.325429326288</v>
      </c>
      <c r="Q109" s="35">
        <f t="shared" si="14"/>
        <v>21.8580047625725</v>
      </c>
      <c r="R109" s="35">
        <f t="shared" si="16"/>
        <v>18.2081874850156</v>
      </c>
      <c r="S109" s="33">
        <f t="shared" si="17"/>
        <v>950.8</v>
      </c>
      <c r="T109" s="36">
        <f t="shared" si="10"/>
        <v>2085.8</v>
      </c>
    </row>
    <row r="110" spans="1:20">
      <c r="A110" s="28">
        <v>45376</v>
      </c>
      <c r="B110" s="29" t="s">
        <v>144</v>
      </c>
      <c r="C110" s="29" t="s">
        <v>145</v>
      </c>
      <c r="D110" s="29" t="s">
        <v>146</v>
      </c>
      <c r="E110" s="29" t="s">
        <v>1571</v>
      </c>
      <c r="F110" s="29">
        <f t="shared" si="11"/>
        <v>2024</v>
      </c>
      <c r="G110" s="29" t="str">
        <f t="shared" si="12"/>
        <v>March</v>
      </c>
      <c r="H110" s="30">
        <v>122186</v>
      </c>
      <c r="I110" s="30">
        <v>5865</v>
      </c>
      <c r="J110" s="31">
        <v>1463</v>
      </c>
      <c r="K110" s="31">
        <v>777</v>
      </c>
      <c r="L110" s="31">
        <v>313</v>
      </c>
      <c r="M110" s="32">
        <v>54949.89</v>
      </c>
      <c r="N110" s="32">
        <v>1100080.07</v>
      </c>
      <c r="O110" s="33">
        <f t="shared" si="15"/>
        <v>4.8</v>
      </c>
      <c r="P110" s="34">
        <f t="shared" si="13"/>
        <v>37.5597334244703</v>
      </c>
      <c r="Q110" s="35">
        <f t="shared" si="14"/>
        <v>20.0196955808283</v>
      </c>
      <c r="R110" s="35">
        <f t="shared" si="16"/>
        <v>9.36912020460358</v>
      </c>
      <c r="S110" s="33">
        <f t="shared" si="17"/>
        <v>449.72</v>
      </c>
      <c r="T110" s="36">
        <f t="shared" ref="T110:T173" si="18">ROUND((N110-M110)/M110*100,2)</f>
        <v>1901.97</v>
      </c>
    </row>
    <row r="111" spans="1:20">
      <c r="A111" s="37">
        <v>45376</v>
      </c>
      <c r="B111" s="38" t="s">
        <v>13</v>
      </c>
      <c r="C111" s="38" t="s">
        <v>14</v>
      </c>
      <c r="D111" s="38" t="s">
        <v>15</v>
      </c>
      <c r="E111" s="38" t="s">
        <v>1571</v>
      </c>
      <c r="F111" s="38">
        <f t="shared" si="11"/>
        <v>2024</v>
      </c>
      <c r="G111" s="38" t="str">
        <f t="shared" si="12"/>
        <v>March</v>
      </c>
      <c r="H111" s="30">
        <v>199247</v>
      </c>
      <c r="I111" s="30">
        <v>9891</v>
      </c>
      <c r="J111" s="39">
        <v>2264</v>
      </c>
      <c r="K111" s="39">
        <v>1217</v>
      </c>
      <c r="L111" s="39">
        <v>616</v>
      </c>
      <c r="M111" s="40">
        <v>105185.38</v>
      </c>
      <c r="N111" s="40">
        <v>4785145.21</v>
      </c>
      <c r="O111" s="33">
        <f t="shared" si="15"/>
        <v>4.96</v>
      </c>
      <c r="P111" s="34">
        <f t="shared" si="13"/>
        <v>46.4599734982332</v>
      </c>
      <c r="Q111" s="35">
        <f t="shared" si="14"/>
        <v>45.4924934434804</v>
      </c>
      <c r="R111" s="35">
        <f t="shared" si="16"/>
        <v>10.6344535436255</v>
      </c>
      <c r="S111" s="33">
        <f t="shared" si="17"/>
        <v>527.91</v>
      </c>
      <c r="T111" s="36">
        <f t="shared" si="18"/>
        <v>4449.25</v>
      </c>
    </row>
    <row r="112" spans="1:20">
      <c r="A112" s="28">
        <v>45377</v>
      </c>
      <c r="B112" s="29" t="s">
        <v>144</v>
      </c>
      <c r="C112" s="29" t="s">
        <v>145</v>
      </c>
      <c r="D112" s="29" t="s">
        <v>146</v>
      </c>
      <c r="E112" s="29" t="s">
        <v>1571</v>
      </c>
      <c r="F112" s="29">
        <f t="shared" si="11"/>
        <v>2024</v>
      </c>
      <c r="G112" s="29" t="str">
        <f t="shared" si="12"/>
        <v>March</v>
      </c>
      <c r="H112" s="30">
        <v>274044</v>
      </c>
      <c r="I112" s="30">
        <v>13557</v>
      </c>
      <c r="J112" s="31">
        <v>2893</v>
      </c>
      <c r="K112" s="31">
        <v>1644</v>
      </c>
      <c r="L112" s="31">
        <v>828</v>
      </c>
      <c r="M112" s="32">
        <v>131707.58</v>
      </c>
      <c r="N112" s="32">
        <v>6173759.68</v>
      </c>
      <c r="O112" s="33">
        <f t="shared" si="15"/>
        <v>4.95</v>
      </c>
      <c r="P112" s="34">
        <f t="shared" si="13"/>
        <v>45.5262979605945</v>
      </c>
      <c r="Q112" s="35">
        <f t="shared" si="14"/>
        <v>46.8747484389281</v>
      </c>
      <c r="R112" s="35">
        <f t="shared" si="16"/>
        <v>9.7150977354872</v>
      </c>
      <c r="S112" s="33">
        <f t="shared" si="17"/>
        <v>480.61</v>
      </c>
      <c r="T112" s="36">
        <f t="shared" si="18"/>
        <v>4587.47</v>
      </c>
    </row>
    <row r="113" spans="1:20">
      <c r="A113" s="37">
        <v>45377</v>
      </c>
      <c r="B113" s="38" t="s">
        <v>13</v>
      </c>
      <c r="C113" s="38" t="s">
        <v>14</v>
      </c>
      <c r="D113" s="38" t="s">
        <v>15</v>
      </c>
      <c r="E113" s="38" t="s">
        <v>1572</v>
      </c>
      <c r="F113" s="38">
        <f t="shared" si="11"/>
        <v>2024</v>
      </c>
      <c r="G113" s="38" t="str">
        <f t="shared" si="12"/>
        <v>March</v>
      </c>
      <c r="H113" s="30">
        <v>244500</v>
      </c>
      <c r="I113" s="30">
        <v>9131</v>
      </c>
      <c r="J113" s="39">
        <v>2098</v>
      </c>
      <c r="K113" s="39">
        <v>1346</v>
      </c>
      <c r="L113" s="39">
        <v>655</v>
      </c>
      <c r="M113" s="40">
        <v>146175.82</v>
      </c>
      <c r="N113" s="40">
        <v>3464551.93</v>
      </c>
      <c r="O113" s="33">
        <f t="shared" si="15"/>
        <v>3.73</v>
      </c>
      <c r="P113" s="34">
        <f t="shared" si="13"/>
        <v>69.6738894184938</v>
      </c>
      <c r="Q113" s="35">
        <f t="shared" si="14"/>
        <v>23.7012655718299</v>
      </c>
      <c r="R113" s="35">
        <f t="shared" si="16"/>
        <v>16.0087416493265</v>
      </c>
      <c r="S113" s="33">
        <f t="shared" si="17"/>
        <v>597.86</v>
      </c>
      <c r="T113" s="36">
        <f t="shared" si="18"/>
        <v>2270.13</v>
      </c>
    </row>
    <row r="114" spans="1:20">
      <c r="A114" s="28">
        <v>45378</v>
      </c>
      <c r="B114" s="29" t="s">
        <v>144</v>
      </c>
      <c r="C114" s="29" t="s">
        <v>145</v>
      </c>
      <c r="D114" s="29" t="s">
        <v>146</v>
      </c>
      <c r="E114" s="29" t="s">
        <v>1571</v>
      </c>
      <c r="F114" s="29">
        <f t="shared" si="11"/>
        <v>2024</v>
      </c>
      <c r="G114" s="29" t="str">
        <f t="shared" si="12"/>
        <v>March</v>
      </c>
      <c r="H114" s="30">
        <v>75569</v>
      </c>
      <c r="I114" s="30">
        <v>3044</v>
      </c>
      <c r="J114" s="31">
        <v>699</v>
      </c>
      <c r="K114" s="31">
        <v>363</v>
      </c>
      <c r="L114" s="31">
        <v>210</v>
      </c>
      <c r="M114" s="32">
        <v>43169.18</v>
      </c>
      <c r="N114" s="32">
        <v>954211.72</v>
      </c>
      <c r="O114" s="33">
        <f t="shared" si="15"/>
        <v>4.03</v>
      </c>
      <c r="P114" s="34">
        <f t="shared" si="13"/>
        <v>61.7584835479256</v>
      </c>
      <c r="Q114" s="35">
        <f t="shared" si="14"/>
        <v>22.1040038286574</v>
      </c>
      <c r="R114" s="35">
        <f t="shared" si="16"/>
        <v>14.1817279894875</v>
      </c>
      <c r="S114" s="33">
        <f t="shared" si="17"/>
        <v>571.26</v>
      </c>
      <c r="T114" s="36">
        <f t="shared" si="18"/>
        <v>2110.4</v>
      </c>
    </row>
    <row r="115" spans="1:20">
      <c r="A115" s="37">
        <v>45378</v>
      </c>
      <c r="B115" s="38" t="s">
        <v>13</v>
      </c>
      <c r="C115" s="38" t="s">
        <v>14</v>
      </c>
      <c r="D115" s="38" t="s">
        <v>15</v>
      </c>
      <c r="E115" s="38" t="s">
        <v>1571</v>
      </c>
      <c r="F115" s="38">
        <f t="shared" si="11"/>
        <v>2024</v>
      </c>
      <c r="G115" s="38" t="str">
        <f t="shared" si="12"/>
        <v>March</v>
      </c>
      <c r="H115" s="30">
        <v>62090</v>
      </c>
      <c r="I115" s="30">
        <v>3649</v>
      </c>
      <c r="J115" s="39">
        <v>636</v>
      </c>
      <c r="K115" s="39">
        <v>301</v>
      </c>
      <c r="L115" s="39">
        <v>174</v>
      </c>
      <c r="M115" s="40">
        <v>58686.75</v>
      </c>
      <c r="N115" s="40">
        <v>569195.34</v>
      </c>
      <c r="O115" s="33">
        <f t="shared" si="15"/>
        <v>5.88</v>
      </c>
      <c r="P115" s="34">
        <f t="shared" si="13"/>
        <v>92.2747641509434</v>
      </c>
      <c r="Q115" s="35">
        <f t="shared" si="14"/>
        <v>9.69887308464006</v>
      </c>
      <c r="R115" s="35">
        <f t="shared" si="16"/>
        <v>16.0829679364209</v>
      </c>
      <c r="S115" s="33">
        <f t="shared" si="17"/>
        <v>945.19</v>
      </c>
      <c r="T115" s="36">
        <f t="shared" si="18"/>
        <v>869.89</v>
      </c>
    </row>
    <row r="116" spans="1:20">
      <c r="A116" s="28">
        <v>45379</v>
      </c>
      <c r="B116" s="29" t="s">
        <v>144</v>
      </c>
      <c r="C116" s="29" t="s">
        <v>145</v>
      </c>
      <c r="D116" s="29" t="s">
        <v>146</v>
      </c>
      <c r="E116" s="29" t="s">
        <v>1571</v>
      </c>
      <c r="F116" s="29">
        <f t="shared" si="11"/>
        <v>2024</v>
      </c>
      <c r="G116" s="29" t="str">
        <f t="shared" si="12"/>
        <v>March</v>
      </c>
      <c r="H116" s="30">
        <v>151614</v>
      </c>
      <c r="I116" s="30">
        <v>5544</v>
      </c>
      <c r="J116" s="31">
        <v>1000</v>
      </c>
      <c r="K116" s="31">
        <v>552</v>
      </c>
      <c r="L116" s="31">
        <v>221</v>
      </c>
      <c r="M116" s="32">
        <v>66293.7</v>
      </c>
      <c r="N116" s="32">
        <v>838838.11</v>
      </c>
      <c r="O116" s="33">
        <f t="shared" si="15"/>
        <v>3.66</v>
      </c>
      <c r="P116" s="34">
        <f t="shared" si="13"/>
        <v>66.2937</v>
      </c>
      <c r="Q116" s="35">
        <f t="shared" si="14"/>
        <v>12.6533608774288</v>
      </c>
      <c r="R116" s="35">
        <f t="shared" si="16"/>
        <v>11.9577380952381</v>
      </c>
      <c r="S116" s="33">
        <f t="shared" si="17"/>
        <v>437.25</v>
      </c>
      <c r="T116" s="36">
        <f t="shared" si="18"/>
        <v>1165.34</v>
      </c>
    </row>
    <row r="117" spans="1:20">
      <c r="A117" s="37">
        <v>45379</v>
      </c>
      <c r="B117" s="38" t="s">
        <v>13</v>
      </c>
      <c r="C117" s="38" t="s">
        <v>14</v>
      </c>
      <c r="D117" s="38" t="s">
        <v>15</v>
      </c>
      <c r="E117" s="38" t="s">
        <v>1571</v>
      </c>
      <c r="F117" s="38">
        <f t="shared" si="11"/>
        <v>2024</v>
      </c>
      <c r="G117" s="38" t="str">
        <f t="shared" si="12"/>
        <v>March</v>
      </c>
      <c r="H117" s="30">
        <v>275576</v>
      </c>
      <c r="I117" s="30">
        <v>19381</v>
      </c>
      <c r="J117" s="39">
        <v>2993</v>
      </c>
      <c r="K117" s="39">
        <v>1920</v>
      </c>
      <c r="L117" s="39">
        <v>883</v>
      </c>
      <c r="M117" s="40">
        <v>152033.82</v>
      </c>
      <c r="N117" s="40">
        <v>2850575.87</v>
      </c>
      <c r="O117" s="33">
        <f t="shared" si="15"/>
        <v>7.03</v>
      </c>
      <c r="P117" s="34">
        <f t="shared" si="13"/>
        <v>50.7964650851988</v>
      </c>
      <c r="Q117" s="35">
        <f t="shared" si="14"/>
        <v>18.7496168286767</v>
      </c>
      <c r="R117" s="35">
        <f t="shared" si="16"/>
        <v>7.84447758113616</v>
      </c>
      <c r="S117" s="33">
        <f t="shared" si="17"/>
        <v>551.69</v>
      </c>
      <c r="T117" s="36">
        <f t="shared" si="18"/>
        <v>1774.96</v>
      </c>
    </row>
    <row r="118" spans="1:20">
      <c r="A118" s="28">
        <v>45380</v>
      </c>
      <c r="B118" s="29" t="s">
        <v>144</v>
      </c>
      <c r="C118" s="29" t="s">
        <v>145</v>
      </c>
      <c r="D118" s="29" t="s">
        <v>146</v>
      </c>
      <c r="E118" s="29" t="s">
        <v>1571</v>
      </c>
      <c r="F118" s="29">
        <f t="shared" si="11"/>
        <v>2024</v>
      </c>
      <c r="G118" s="29" t="str">
        <f t="shared" si="12"/>
        <v>March</v>
      </c>
      <c r="H118" s="30">
        <v>128767</v>
      </c>
      <c r="I118" s="30">
        <v>7454</v>
      </c>
      <c r="J118" s="31">
        <v>1142</v>
      </c>
      <c r="K118" s="31">
        <v>540</v>
      </c>
      <c r="L118" s="31">
        <v>253</v>
      </c>
      <c r="M118" s="32">
        <v>99239.26</v>
      </c>
      <c r="N118" s="32">
        <v>960812.07</v>
      </c>
      <c r="O118" s="33">
        <f t="shared" si="15"/>
        <v>5.79</v>
      </c>
      <c r="P118" s="34">
        <f t="shared" si="13"/>
        <v>86.899527145359</v>
      </c>
      <c r="Q118" s="35">
        <f t="shared" si="14"/>
        <v>9.68177382620548</v>
      </c>
      <c r="R118" s="35">
        <f t="shared" si="16"/>
        <v>13.313557821304</v>
      </c>
      <c r="S118" s="33">
        <f t="shared" si="17"/>
        <v>770.69</v>
      </c>
      <c r="T118" s="36">
        <f t="shared" si="18"/>
        <v>868.18</v>
      </c>
    </row>
    <row r="119" spans="1:20">
      <c r="A119" s="37">
        <v>45380</v>
      </c>
      <c r="B119" s="38" t="s">
        <v>13</v>
      </c>
      <c r="C119" s="38" t="s">
        <v>14</v>
      </c>
      <c r="D119" s="38" t="s">
        <v>15</v>
      </c>
      <c r="E119" s="38" t="s">
        <v>1573</v>
      </c>
      <c r="F119" s="38">
        <f t="shared" si="11"/>
        <v>2024</v>
      </c>
      <c r="G119" s="38" t="str">
        <f t="shared" si="12"/>
        <v>March</v>
      </c>
      <c r="H119" s="30">
        <v>94022</v>
      </c>
      <c r="I119" s="30">
        <v>2854</v>
      </c>
      <c r="J119" s="39">
        <v>695</v>
      </c>
      <c r="K119" s="39">
        <v>411</v>
      </c>
      <c r="L119" s="39">
        <v>192</v>
      </c>
      <c r="M119" s="40">
        <v>58116.78</v>
      </c>
      <c r="N119" s="40">
        <v>1323997.7</v>
      </c>
      <c r="O119" s="33">
        <f t="shared" si="15"/>
        <v>3.04</v>
      </c>
      <c r="P119" s="34">
        <f t="shared" si="13"/>
        <v>83.6212661870504</v>
      </c>
      <c r="Q119" s="35">
        <f t="shared" si="14"/>
        <v>22.781676823802</v>
      </c>
      <c r="R119" s="35">
        <f t="shared" si="16"/>
        <v>20.3632725998598</v>
      </c>
      <c r="S119" s="33">
        <f t="shared" si="17"/>
        <v>618.12</v>
      </c>
      <c r="T119" s="36">
        <f t="shared" si="18"/>
        <v>2178.17</v>
      </c>
    </row>
    <row r="120" spans="1:20">
      <c r="A120" s="28">
        <v>45381</v>
      </c>
      <c r="B120" s="29" t="s">
        <v>144</v>
      </c>
      <c r="C120" s="29" t="s">
        <v>145</v>
      </c>
      <c r="D120" s="29" t="s">
        <v>146</v>
      </c>
      <c r="E120" s="29" t="s">
        <v>1571</v>
      </c>
      <c r="F120" s="29">
        <f t="shared" si="11"/>
        <v>2024</v>
      </c>
      <c r="G120" s="29" t="str">
        <f t="shared" si="12"/>
        <v>March</v>
      </c>
      <c r="H120" s="30">
        <v>168427</v>
      </c>
      <c r="I120" s="30">
        <v>7496</v>
      </c>
      <c r="J120" s="31">
        <v>1354</v>
      </c>
      <c r="K120" s="31">
        <v>707</v>
      </c>
      <c r="L120" s="31">
        <v>399</v>
      </c>
      <c r="M120" s="32">
        <v>121004.62</v>
      </c>
      <c r="N120" s="32">
        <v>2780010.07</v>
      </c>
      <c r="O120" s="33">
        <f t="shared" si="15"/>
        <v>4.45</v>
      </c>
      <c r="P120" s="34">
        <f t="shared" si="13"/>
        <v>89.3682570162482</v>
      </c>
      <c r="Q120" s="35">
        <f t="shared" si="14"/>
        <v>22.9744126298649</v>
      </c>
      <c r="R120" s="35">
        <f t="shared" si="16"/>
        <v>16.1425586979723</v>
      </c>
      <c r="S120" s="33">
        <f t="shared" si="17"/>
        <v>718.44</v>
      </c>
      <c r="T120" s="36">
        <f t="shared" si="18"/>
        <v>2197.44</v>
      </c>
    </row>
    <row r="121" spans="1:20">
      <c r="A121" s="37">
        <v>45381</v>
      </c>
      <c r="B121" s="38" t="s">
        <v>13</v>
      </c>
      <c r="C121" s="38" t="s">
        <v>14</v>
      </c>
      <c r="D121" s="38" t="s">
        <v>15</v>
      </c>
      <c r="E121" s="38" t="s">
        <v>1571</v>
      </c>
      <c r="F121" s="38">
        <f t="shared" si="11"/>
        <v>2024</v>
      </c>
      <c r="G121" s="38" t="str">
        <f t="shared" si="12"/>
        <v>March</v>
      </c>
      <c r="H121" s="30">
        <v>153437</v>
      </c>
      <c r="I121" s="30">
        <v>5657</v>
      </c>
      <c r="J121" s="39">
        <v>1049</v>
      </c>
      <c r="K121" s="39">
        <v>519</v>
      </c>
      <c r="L121" s="39">
        <v>211</v>
      </c>
      <c r="M121" s="40">
        <v>147977.24</v>
      </c>
      <c r="N121" s="40">
        <v>1161334.2</v>
      </c>
      <c r="O121" s="33">
        <f t="shared" si="15"/>
        <v>3.69</v>
      </c>
      <c r="P121" s="34">
        <f t="shared" si="13"/>
        <v>141.065052430887</v>
      </c>
      <c r="Q121" s="35">
        <f t="shared" si="14"/>
        <v>7.84805960700443</v>
      </c>
      <c r="R121" s="35">
        <f t="shared" si="16"/>
        <v>26.1582534912498</v>
      </c>
      <c r="S121" s="33">
        <f t="shared" si="17"/>
        <v>964.42</v>
      </c>
      <c r="T121" s="36">
        <f t="shared" si="18"/>
        <v>684.81</v>
      </c>
    </row>
    <row r="122" spans="1:20">
      <c r="A122" s="28">
        <v>45382</v>
      </c>
      <c r="B122" s="29" t="s">
        <v>144</v>
      </c>
      <c r="C122" s="29" t="s">
        <v>145</v>
      </c>
      <c r="D122" s="29" t="s">
        <v>146</v>
      </c>
      <c r="E122" s="29" t="s">
        <v>1571</v>
      </c>
      <c r="F122" s="29">
        <f t="shared" si="11"/>
        <v>2024</v>
      </c>
      <c r="G122" s="29" t="str">
        <f t="shared" si="12"/>
        <v>March</v>
      </c>
      <c r="H122" s="30">
        <v>80636</v>
      </c>
      <c r="I122" s="30">
        <v>5687</v>
      </c>
      <c r="J122" s="31">
        <v>1072</v>
      </c>
      <c r="K122" s="31">
        <v>607</v>
      </c>
      <c r="L122" s="31">
        <v>344</v>
      </c>
      <c r="M122" s="32">
        <v>59284.93</v>
      </c>
      <c r="N122" s="32">
        <v>2288813.48</v>
      </c>
      <c r="O122" s="33">
        <f t="shared" si="15"/>
        <v>7.05</v>
      </c>
      <c r="P122" s="34">
        <f t="shared" si="13"/>
        <v>55.3031063432836</v>
      </c>
      <c r="Q122" s="35">
        <f t="shared" si="14"/>
        <v>38.6070031625238</v>
      </c>
      <c r="R122" s="35">
        <f t="shared" si="16"/>
        <v>10.424640407948</v>
      </c>
      <c r="S122" s="33">
        <f t="shared" si="17"/>
        <v>735.22</v>
      </c>
      <c r="T122" s="36">
        <f t="shared" si="18"/>
        <v>3760.7</v>
      </c>
    </row>
    <row r="123" spans="1:20">
      <c r="A123" s="37">
        <v>45382</v>
      </c>
      <c r="B123" s="38" t="s">
        <v>13</v>
      </c>
      <c r="C123" s="38" t="s">
        <v>14</v>
      </c>
      <c r="D123" s="38" t="s">
        <v>15</v>
      </c>
      <c r="E123" s="38" t="s">
        <v>1573</v>
      </c>
      <c r="F123" s="38">
        <f t="shared" si="11"/>
        <v>2024</v>
      </c>
      <c r="G123" s="38" t="str">
        <f t="shared" si="12"/>
        <v>March</v>
      </c>
      <c r="H123" s="30">
        <v>158630</v>
      </c>
      <c r="I123" s="30">
        <v>4927</v>
      </c>
      <c r="J123" s="39">
        <v>822</v>
      </c>
      <c r="K123" s="39">
        <v>475</v>
      </c>
      <c r="L123" s="39">
        <v>264</v>
      </c>
      <c r="M123" s="40">
        <v>141499.38</v>
      </c>
      <c r="N123" s="40">
        <v>1140875.76</v>
      </c>
      <c r="O123" s="33">
        <f t="shared" si="15"/>
        <v>3.11</v>
      </c>
      <c r="P123" s="34">
        <f t="shared" si="13"/>
        <v>172.140364963504</v>
      </c>
      <c r="Q123" s="35">
        <f t="shared" si="14"/>
        <v>8.0627615470824</v>
      </c>
      <c r="R123" s="35">
        <f t="shared" si="16"/>
        <v>28.7191759691496</v>
      </c>
      <c r="S123" s="33">
        <f t="shared" si="17"/>
        <v>892.01</v>
      </c>
      <c r="T123" s="36">
        <f t="shared" si="18"/>
        <v>706.28</v>
      </c>
    </row>
    <row r="124" spans="1:20">
      <c r="A124" s="28">
        <v>45295</v>
      </c>
      <c r="B124" s="29" t="s">
        <v>144</v>
      </c>
      <c r="C124" s="29" t="s">
        <v>145</v>
      </c>
      <c r="D124" s="29" t="s">
        <v>146</v>
      </c>
      <c r="E124" s="29" t="s">
        <v>1571</v>
      </c>
      <c r="F124" s="29">
        <f t="shared" si="11"/>
        <v>2024</v>
      </c>
      <c r="G124" s="29" t="str">
        <f t="shared" si="12"/>
        <v>January</v>
      </c>
      <c r="H124" s="30">
        <v>186499</v>
      </c>
      <c r="I124" s="30">
        <v>6536</v>
      </c>
      <c r="J124" s="31">
        <v>1354</v>
      </c>
      <c r="K124" s="31">
        <v>621</v>
      </c>
      <c r="L124" s="31">
        <v>368</v>
      </c>
      <c r="M124" s="32">
        <v>85229.02</v>
      </c>
      <c r="N124" s="32">
        <v>2637713.85</v>
      </c>
      <c r="O124" s="33">
        <f t="shared" si="15"/>
        <v>3.5</v>
      </c>
      <c r="P124" s="34">
        <f t="shared" si="13"/>
        <v>62.9461004431315</v>
      </c>
      <c r="Q124" s="35">
        <f t="shared" si="14"/>
        <v>30.9485413536375</v>
      </c>
      <c r="R124" s="35">
        <f t="shared" si="16"/>
        <v>13.0399357405141</v>
      </c>
      <c r="S124" s="33">
        <f t="shared" si="17"/>
        <v>456.99</v>
      </c>
      <c r="T124" s="36">
        <f t="shared" si="18"/>
        <v>2994.85</v>
      </c>
    </row>
    <row r="125" spans="1:20">
      <c r="A125" s="37">
        <v>45326</v>
      </c>
      <c r="B125" s="38" t="s">
        <v>144</v>
      </c>
      <c r="C125" s="38" t="s">
        <v>145</v>
      </c>
      <c r="D125" s="38" t="s">
        <v>146</v>
      </c>
      <c r="E125" s="38" t="s">
        <v>1571</v>
      </c>
      <c r="F125" s="38">
        <f t="shared" si="11"/>
        <v>2024</v>
      </c>
      <c r="G125" s="38" t="str">
        <f t="shared" si="12"/>
        <v>February</v>
      </c>
      <c r="H125" s="30">
        <v>280440</v>
      </c>
      <c r="I125" s="30">
        <v>19647</v>
      </c>
      <c r="J125" s="39">
        <v>3222</v>
      </c>
      <c r="K125" s="39">
        <v>1784</v>
      </c>
      <c r="L125" s="39">
        <v>885</v>
      </c>
      <c r="M125" s="40">
        <v>254339</v>
      </c>
      <c r="N125" s="40">
        <v>4246093.25</v>
      </c>
      <c r="O125" s="33">
        <f t="shared" si="15"/>
        <v>7.01</v>
      </c>
      <c r="P125" s="34">
        <f t="shared" si="13"/>
        <v>78.9382371198014</v>
      </c>
      <c r="Q125" s="35">
        <f t="shared" si="14"/>
        <v>16.6946211552298</v>
      </c>
      <c r="R125" s="35">
        <f t="shared" si="16"/>
        <v>12.9454369623861</v>
      </c>
      <c r="S125" s="33">
        <f t="shared" si="17"/>
        <v>906.93</v>
      </c>
      <c r="T125" s="36">
        <f t="shared" si="18"/>
        <v>1569.46</v>
      </c>
    </row>
    <row r="126" spans="1:20">
      <c r="A126" s="28">
        <v>45355</v>
      </c>
      <c r="B126" s="29" t="s">
        <v>144</v>
      </c>
      <c r="C126" s="29" t="s">
        <v>145</v>
      </c>
      <c r="D126" s="29" t="s">
        <v>146</v>
      </c>
      <c r="E126" s="29" t="s">
        <v>1571</v>
      </c>
      <c r="F126" s="29">
        <f t="shared" si="11"/>
        <v>2024</v>
      </c>
      <c r="G126" s="29" t="str">
        <f t="shared" si="12"/>
        <v>March</v>
      </c>
      <c r="H126" s="30">
        <v>79911</v>
      </c>
      <c r="I126" s="30">
        <v>2837</v>
      </c>
      <c r="J126" s="31">
        <v>458</v>
      </c>
      <c r="K126" s="31">
        <v>283</v>
      </c>
      <c r="L126" s="31">
        <v>153</v>
      </c>
      <c r="M126" s="32">
        <v>34959.15</v>
      </c>
      <c r="N126" s="32">
        <v>584662.54</v>
      </c>
      <c r="O126" s="33">
        <f t="shared" si="15"/>
        <v>3.55</v>
      </c>
      <c r="P126" s="34">
        <f t="shared" si="13"/>
        <v>76.3300218340611</v>
      </c>
      <c r="Q126" s="35">
        <f t="shared" si="14"/>
        <v>16.7241634879567</v>
      </c>
      <c r="R126" s="35">
        <f t="shared" si="16"/>
        <v>12.3225766654917</v>
      </c>
      <c r="S126" s="33">
        <f t="shared" si="17"/>
        <v>437.48</v>
      </c>
      <c r="T126" s="36">
        <f t="shared" si="18"/>
        <v>1572.42</v>
      </c>
    </row>
    <row r="127" spans="1:20">
      <c r="A127" s="37">
        <v>45386</v>
      </c>
      <c r="B127" s="38" t="s">
        <v>144</v>
      </c>
      <c r="C127" s="38" t="s">
        <v>145</v>
      </c>
      <c r="D127" s="38" t="s">
        <v>146</v>
      </c>
      <c r="E127" s="38" t="s">
        <v>1571</v>
      </c>
      <c r="F127" s="38">
        <f t="shared" si="11"/>
        <v>2024</v>
      </c>
      <c r="G127" s="38" t="str">
        <f t="shared" si="12"/>
        <v>April</v>
      </c>
      <c r="H127" s="30">
        <v>274653</v>
      </c>
      <c r="I127" s="30">
        <v>14146</v>
      </c>
      <c r="J127" s="39">
        <v>2816</v>
      </c>
      <c r="K127" s="39">
        <v>1386</v>
      </c>
      <c r="L127" s="39">
        <v>561</v>
      </c>
      <c r="M127" s="40">
        <v>208104.41</v>
      </c>
      <c r="N127" s="40">
        <v>3892837.87</v>
      </c>
      <c r="O127" s="33">
        <f t="shared" si="15"/>
        <v>5.15</v>
      </c>
      <c r="P127" s="34">
        <f t="shared" si="13"/>
        <v>73.9007137784091</v>
      </c>
      <c r="Q127" s="35">
        <f t="shared" si="14"/>
        <v>18.7061767215793</v>
      </c>
      <c r="R127" s="35">
        <f t="shared" si="16"/>
        <v>14.7111840803054</v>
      </c>
      <c r="S127" s="33">
        <f t="shared" si="17"/>
        <v>757.7</v>
      </c>
      <c r="T127" s="36">
        <f t="shared" si="18"/>
        <v>1770.62</v>
      </c>
    </row>
    <row r="128" spans="1:20">
      <c r="A128" s="28">
        <v>45416</v>
      </c>
      <c r="B128" s="29" t="s">
        <v>144</v>
      </c>
      <c r="C128" s="29" t="s">
        <v>145</v>
      </c>
      <c r="D128" s="29" t="s">
        <v>146</v>
      </c>
      <c r="E128" s="29" t="s">
        <v>1571</v>
      </c>
      <c r="F128" s="29">
        <f t="shared" si="11"/>
        <v>2024</v>
      </c>
      <c r="G128" s="29" t="str">
        <f t="shared" si="12"/>
        <v>May</v>
      </c>
      <c r="H128" s="30">
        <v>165340</v>
      </c>
      <c r="I128" s="30">
        <v>10645</v>
      </c>
      <c r="J128" s="31">
        <v>1684</v>
      </c>
      <c r="K128" s="31">
        <v>807</v>
      </c>
      <c r="L128" s="31">
        <v>389</v>
      </c>
      <c r="M128" s="32">
        <v>129203.32</v>
      </c>
      <c r="N128" s="32">
        <v>3018743.31</v>
      </c>
      <c r="O128" s="33">
        <f t="shared" si="15"/>
        <v>6.44</v>
      </c>
      <c r="P128" s="34">
        <f t="shared" si="13"/>
        <v>76.7240617577197</v>
      </c>
      <c r="Q128" s="35">
        <f t="shared" si="14"/>
        <v>23.3642859177303</v>
      </c>
      <c r="R128" s="35">
        <f t="shared" si="16"/>
        <v>12.1374654767496</v>
      </c>
      <c r="S128" s="33">
        <f t="shared" si="17"/>
        <v>781.44</v>
      </c>
      <c r="T128" s="36">
        <f t="shared" si="18"/>
        <v>2236.43</v>
      </c>
    </row>
    <row r="129" spans="1:20">
      <c r="A129" s="37">
        <v>45447</v>
      </c>
      <c r="B129" s="38" t="s">
        <v>144</v>
      </c>
      <c r="C129" s="38" t="s">
        <v>145</v>
      </c>
      <c r="D129" s="38" t="s">
        <v>146</v>
      </c>
      <c r="E129" s="38" t="s">
        <v>1571</v>
      </c>
      <c r="F129" s="38">
        <f t="shared" si="11"/>
        <v>2024</v>
      </c>
      <c r="G129" s="38" t="str">
        <f t="shared" si="12"/>
        <v>June</v>
      </c>
      <c r="H129" s="30">
        <v>282778</v>
      </c>
      <c r="I129" s="30">
        <v>15067</v>
      </c>
      <c r="J129" s="39">
        <v>2772</v>
      </c>
      <c r="K129" s="39">
        <v>1717</v>
      </c>
      <c r="L129" s="39">
        <v>949</v>
      </c>
      <c r="M129" s="40">
        <v>219848.01</v>
      </c>
      <c r="N129" s="40">
        <v>5156798.93</v>
      </c>
      <c r="O129" s="33">
        <f t="shared" si="15"/>
        <v>5.33</v>
      </c>
      <c r="P129" s="34">
        <f t="shared" si="13"/>
        <v>79.3102489177489</v>
      </c>
      <c r="Q129" s="35">
        <f t="shared" si="14"/>
        <v>23.4562001721098</v>
      </c>
      <c r="R129" s="35">
        <f t="shared" si="16"/>
        <v>14.5913592619632</v>
      </c>
      <c r="S129" s="33">
        <f t="shared" si="17"/>
        <v>777.46</v>
      </c>
      <c r="T129" s="36">
        <f t="shared" si="18"/>
        <v>2245.62</v>
      </c>
    </row>
    <row r="130" spans="1:20">
      <c r="A130" s="28">
        <v>45477</v>
      </c>
      <c r="B130" s="29" t="s">
        <v>144</v>
      </c>
      <c r="C130" s="29" t="s">
        <v>145</v>
      </c>
      <c r="D130" s="29" t="s">
        <v>146</v>
      </c>
      <c r="E130" s="29" t="s">
        <v>1571</v>
      </c>
      <c r="F130" s="29">
        <f t="shared" ref="F130:F193" si="19">YEAR(A130)</f>
        <v>2024</v>
      </c>
      <c r="G130" s="29" t="str">
        <f t="shared" ref="G130:G193" si="20">TEXT(A130,"mmmm")</f>
        <v>July</v>
      </c>
      <c r="H130" s="30">
        <v>285987</v>
      </c>
      <c r="I130" s="30">
        <v>22561</v>
      </c>
      <c r="J130" s="31">
        <v>5121</v>
      </c>
      <c r="K130" s="31">
        <v>2466</v>
      </c>
      <c r="L130" s="31">
        <v>1091</v>
      </c>
      <c r="M130" s="32">
        <v>146348.42</v>
      </c>
      <c r="N130" s="32">
        <v>3872314.53</v>
      </c>
      <c r="O130" s="33">
        <f t="shared" si="15"/>
        <v>7.89</v>
      </c>
      <c r="P130" s="34">
        <f t="shared" ref="P130:P193" si="21">M130/J130</f>
        <v>28.5780941222418</v>
      </c>
      <c r="Q130" s="35">
        <f t="shared" ref="Q130:Q193" si="22">N130/M130</f>
        <v>26.4595581558038</v>
      </c>
      <c r="R130" s="35">
        <f t="shared" si="16"/>
        <v>6.48678781968884</v>
      </c>
      <c r="S130" s="33">
        <f t="shared" si="17"/>
        <v>511.73</v>
      </c>
      <c r="T130" s="36">
        <f t="shared" si="18"/>
        <v>2545.96</v>
      </c>
    </row>
    <row r="131" spans="1:20">
      <c r="A131" s="37">
        <v>45508</v>
      </c>
      <c r="B131" s="38" t="s">
        <v>144</v>
      </c>
      <c r="C131" s="38" t="s">
        <v>145</v>
      </c>
      <c r="D131" s="38" t="s">
        <v>146</v>
      </c>
      <c r="E131" s="38" t="s">
        <v>1571</v>
      </c>
      <c r="F131" s="38">
        <f t="shared" si="19"/>
        <v>2024</v>
      </c>
      <c r="G131" s="38" t="str">
        <f t="shared" si="20"/>
        <v>August</v>
      </c>
      <c r="H131" s="30">
        <v>200034</v>
      </c>
      <c r="I131" s="30">
        <v>14443</v>
      </c>
      <c r="J131" s="39">
        <v>3338</v>
      </c>
      <c r="K131" s="39">
        <v>1578</v>
      </c>
      <c r="L131" s="39">
        <v>716</v>
      </c>
      <c r="M131" s="40">
        <v>189341.96</v>
      </c>
      <c r="N131" s="40">
        <v>5411518.93</v>
      </c>
      <c r="O131" s="33">
        <f t="shared" ref="O131:O194" si="23">ROUND(I131/H131*100,2)</f>
        <v>7.22</v>
      </c>
      <c r="P131" s="34">
        <f t="shared" si="21"/>
        <v>56.7231755542241</v>
      </c>
      <c r="Q131" s="35">
        <f t="shared" si="22"/>
        <v>28.5806639479173</v>
      </c>
      <c r="R131" s="35">
        <f t="shared" si="16"/>
        <v>13.1096004985114</v>
      </c>
      <c r="S131" s="33">
        <f t="shared" si="17"/>
        <v>946.55</v>
      </c>
      <c r="T131" s="36">
        <f t="shared" si="18"/>
        <v>2758.07</v>
      </c>
    </row>
    <row r="132" spans="1:20">
      <c r="A132" s="28">
        <v>45539</v>
      </c>
      <c r="B132" s="29" t="s">
        <v>144</v>
      </c>
      <c r="C132" s="29" t="s">
        <v>145</v>
      </c>
      <c r="D132" s="29" t="s">
        <v>146</v>
      </c>
      <c r="E132" s="29" t="s">
        <v>1571</v>
      </c>
      <c r="F132" s="29">
        <f t="shared" si="19"/>
        <v>2024</v>
      </c>
      <c r="G132" s="29" t="str">
        <f t="shared" si="20"/>
        <v>September</v>
      </c>
      <c r="H132" s="30">
        <v>114098</v>
      </c>
      <c r="I132" s="30">
        <v>4796</v>
      </c>
      <c r="J132" s="31">
        <v>979</v>
      </c>
      <c r="K132" s="31">
        <v>559</v>
      </c>
      <c r="L132" s="31">
        <v>277</v>
      </c>
      <c r="M132" s="32">
        <v>95244.65</v>
      </c>
      <c r="N132" s="32">
        <v>1500707.12</v>
      </c>
      <c r="O132" s="33">
        <f t="shared" si="23"/>
        <v>4.2</v>
      </c>
      <c r="P132" s="34">
        <f t="shared" si="21"/>
        <v>97.2876915219612</v>
      </c>
      <c r="Q132" s="35">
        <f t="shared" si="22"/>
        <v>15.7563403298768</v>
      </c>
      <c r="R132" s="35">
        <f t="shared" si="16"/>
        <v>19.8591847372811</v>
      </c>
      <c r="S132" s="33">
        <f t="shared" si="17"/>
        <v>834.76</v>
      </c>
      <c r="T132" s="36">
        <f t="shared" si="18"/>
        <v>1475.63</v>
      </c>
    </row>
    <row r="133" spans="1:20">
      <c r="A133" s="37">
        <v>45569</v>
      </c>
      <c r="B133" s="38" t="s">
        <v>144</v>
      </c>
      <c r="C133" s="38" t="s">
        <v>145</v>
      </c>
      <c r="D133" s="38" t="s">
        <v>146</v>
      </c>
      <c r="E133" s="38" t="s">
        <v>1571</v>
      </c>
      <c r="F133" s="38">
        <f t="shared" si="19"/>
        <v>2024</v>
      </c>
      <c r="G133" s="38" t="str">
        <f t="shared" si="20"/>
        <v>October</v>
      </c>
      <c r="H133" s="30">
        <v>230730</v>
      </c>
      <c r="I133" s="30">
        <v>8044</v>
      </c>
      <c r="J133" s="39">
        <v>1273</v>
      </c>
      <c r="K133" s="39">
        <v>591</v>
      </c>
      <c r="L133" s="39">
        <v>285</v>
      </c>
      <c r="M133" s="40">
        <v>100417.85</v>
      </c>
      <c r="N133" s="40">
        <v>2085502.25</v>
      </c>
      <c r="O133" s="33">
        <f t="shared" si="23"/>
        <v>3.49</v>
      </c>
      <c r="P133" s="34">
        <f t="shared" si="21"/>
        <v>78.8828358208955</v>
      </c>
      <c r="Q133" s="35">
        <f t="shared" si="22"/>
        <v>20.7682423991352</v>
      </c>
      <c r="R133" s="35">
        <f t="shared" si="16"/>
        <v>12.4835716061661</v>
      </c>
      <c r="S133" s="33">
        <f t="shared" si="17"/>
        <v>435.22</v>
      </c>
      <c r="T133" s="36">
        <f t="shared" si="18"/>
        <v>1976.82</v>
      </c>
    </row>
    <row r="134" spans="1:20">
      <c r="A134" s="28">
        <v>45600</v>
      </c>
      <c r="B134" s="29" t="s">
        <v>144</v>
      </c>
      <c r="C134" s="29" t="s">
        <v>145</v>
      </c>
      <c r="D134" s="29" t="s">
        <v>146</v>
      </c>
      <c r="E134" s="29" t="s">
        <v>1571</v>
      </c>
      <c r="F134" s="29">
        <f t="shared" si="19"/>
        <v>2024</v>
      </c>
      <c r="G134" s="29" t="str">
        <f t="shared" si="20"/>
        <v>November</v>
      </c>
      <c r="H134" s="30">
        <v>221570</v>
      </c>
      <c r="I134" s="30">
        <v>12355</v>
      </c>
      <c r="J134" s="31">
        <v>2256</v>
      </c>
      <c r="K134" s="31">
        <v>1301</v>
      </c>
      <c r="L134" s="31">
        <v>521</v>
      </c>
      <c r="M134" s="32">
        <v>200217.89</v>
      </c>
      <c r="N134" s="32">
        <v>2522440.58</v>
      </c>
      <c r="O134" s="33">
        <f t="shared" si="23"/>
        <v>5.58</v>
      </c>
      <c r="P134" s="34">
        <f t="shared" si="21"/>
        <v>88.7490647163121</v>
      </c>
      <c r="Q134" s="35">
        <f t="shared" si="22"/>
        <v>12.5984774886999</v>
      </c>
      <c r="R134" s="35">
        <f t="shared" si="16"/>
        <v>16.2054140024282</v>
      </c>
      <c r="S134" s="33">
        <f t="shared" si="17"/>
        <v>903.63</v>
      </c>
      <c r="T134" s="36">
        <f t="shared" si="18"/>
        <v>1159.85</v>
      </c>
    </row>
    <row r="135" spans="1:20">
      <c r="A135" s="37">
        <v>45630</v>
      </c>
      <c r="B135" s="38" t="s">
        <v>144</v>
      </c>
      <c r="C135" s="38" t="s">
        <v>145</v>
      </c>
      <c r="D135" s="38" t="s">
        <v>146</v>
      </c>
      <c r="E135" s="38" t="s">
        <v>1571</v>
      </c>
      <c r="F135" s="38">
        <f t="shared" si="19"/>
        <v>2024</v>
      </c>
      <c r="G135" s="38" t="str">
        <f t="shared" si="20"/>
        <v>December</v>
      </c>
      <c r="H135" s="30">
        <v>241871</v>
      </c>
      <c r="I135" s="30">
        <v>18824</v>
      </c>
      <c r="J135" s="39">
        <v>3533</v>
      </c>
      <c r="K135" s="39">
        <v>2181</v>
      </c>
      <c r="L135" s="39">
        <v>917</v>
      </c>
      <c r="M135" s="40">
        <v>126584.31</v>
      </c>
      <c r="N135" s="40">
        <v>7087676.71</v>
      </c>
      <c r="O135" s="33">
        <f t="shared" si="23"/>
        <v>7.78</v>
      </c>
      <c r="P135" s="34">
        <f t="shared" si="21"/>
        <v>35.8291282196434</v>
      </c>
      <c r="Q135" s="35">
        <f t="shared" si="22"/>
        <v>55.991747397446</v>
      </c>
      <c r="R135" s="35">
        <f t="shared" si="16"/>
        <v>6.72462335316617</v>
      </c>
      <c r="S135" s="33">
        <f t="shared" si="17"/>
        <v>523.35</v>
      </c>
      <c r="T135" s="36">
        <f t="shared" si="18"/>
        <v>5499.17</v>
      </c>
    </row>
    <row r="136" spans="1:20">
      <c r="A136" s="28">
        <v>45395</v>
      </c>
      <c r="B136" s="29" t="s">
        <v>144</v>
      </c>
      <c r="C136" s="29" t="s">
        <v>145</v>
      </c>
      <c r="D136" s="29" t="s">
        <v>146</v>
      </c>
      <c r="E136" s="29" t="s">
        <v>1571</v>
      </c>
      <c r="F136" s="29">
        <f t="shared" si="19"/>
        <v>2024</v>
      </c>
      <c r="G136" s="29" t="str">
        <f t="shared" si="20"/>
        <v>April</v>
      </c>
      <c r="H136" s="30">
        <v>288853</v>
      </c>
      <c r="I136" s="30">
        <v>12032</v>
      </c>
      <c r="J136" s="31">
        <v>2732</v>
      </c>
      <c r="K136" s="31">
        <v>1717</v>
      </c>
      <c r="L136" s="31">
        <v>785</v>
      </c>
      <c r="M136" s="32">
        <v>202094.55</v>
      </c>
      <c r="N136" s="32">
        <v>2398171.83</v>
      </c>
      <c r="O136" s="33">
        <f t="shared" si="23"/>
        <v>4.17</v>
      </c>
      <c r="P136" s="34">
        <f t="shared" si="21"/>
        <v>73.9731149341142</v>
      </c>
      <c r="Q136" s="35">
        <f t="shared" si="22"/>
        <v>11.8665833888148</v>
      </c>
      <c r="R136" s="35">
        <f t="shared" si="16"/>
        <v>16.7964220412234</v>
      </c>
      <c r="S136" s="33">
        <f t="shared" si="17"/>
        <v>699.64</v>
      </c>
      <c r="T136" s="36">
        <f t="shared" si="18"/>
        <v>1086.66</v>
      </c>
    </row>
    <row r="137" spans="1:20">
      <c r="A137" s="37">
        <v>45396</v>
      </c>
      <c r="B137" s="38" t="s">
        <v>144</v>
      </c>
      <c r="C137" s="38" t="s">
        <v>145</v>
      </c>
      <c r="D137" s="38" t="s">
        <v>146</v>
      </c>
      <c r="E137" s="38" t="s">
        <v>1571</v>
      </c>
      <c r="F137" s="38">
        <f t="shared" si="19"/>
        <v>2024</v>
      </c>
      <c r="G137" s="38" t="str">
        <f t="shared" si="20"/>
        <v>April</v>
      </c>
      <c r="H137" s="30">
        <v>213540</v>
      </c>
      <c r="I137" s="30">
        <v>14462</v>
      </c>
      <c r="J137" s="39">
        <v>3456</v>
      </c>
      <c r="K137" s="39">
        <v>1678</v>
      </c>
      <c r="L137" s="39">
        <v>696</v>
      </c>
      <c r="M137" s="40">
        <v>108897.67</v>
      </c>
      <c r="N137" s="40">
        <v>3431908.04</v>
      </c>
      <c r="O137" s="33">
        <f t="shared" si="23"/>
        <v>6.77</v>
      </c>
      <c r="P137" s="34">
        <f t="shared" si="21"/>
        <v>31.5097424768519</v>
      </c>
      <c r="Q137" s="35">
        <f t="shared" si="22"/>
        <v>31.514981358187</v>
      </c>
      <c r="R137" s="35">
        <f t="shared" si="16"/>
        <v>7.52991771539206</v>
      </c>
      <c r="S137" s="33">
        <f t="shared" si="17"/>
        <v>509.96</v>
      </c>
      <c r="T137" s="36">
        <f t="shared" si="18"/>
        <v>3051.5</v>
      </c>
    </row>
    <row r="138" spans="1:20">
      <c r="A138" s="28">
        <v>45397</v>
      </c>
      <c r="B138" s="29" t="s">
        <v>144</v>
      </c>
      <c r="C138" s="29" t="s">
        <v>145</v>
      </c>
      <c r="D138" s="29" t="s">
        <v>146</v>
      </c>
      <c r="E138" s="29" t="s">
        <v>1571</v>
      </c>
      <c r="F138" s="29">
        <f t="shared" si="19"/>
        <v>2024</v>
      </c>
      <c r="G138" s="29" t="str">
        <f t="shared" si="20"/>
        <v>April</v>
      </c>
      <c r="H138" s="30">
        <v>72233</v>
      </c>
      <c r="I138" s="30">
        <v>3762</v>
      </c>
      <c r="J138" s="31">
        <v>590</v>
      </c>
      <c r="K138" s="31">
        <v>318</v>
      </c>
      <c r="L138" s="31">
        <v>184</v>
      </c>
      <c r="M138" s="32">
        <v>57707.1</v>
      </c>
      <c r="N138" s="32">
        <v>1314021.37</v>
      </c>
      <c r="O138" s="33">
        <f t="shared" si="23"/>
        <v>5.21</v>
      </c>
      <c r="P138" s="34">
        <f t="shared" si="21"/>
        <v>97.8086440677966</v>
      </c>
      <c r="Q138" s="35">
        <f t="shared" si="22"/>
        <v>22.770532048916</v>
      </c>
      <c r="R138" s="35">
        <f t="shared" si="16"/>
        <v>15.3394736842105</v>
      </c>
      <c r="S138" s="33">
        <f t="shared" si="17"/>
        <v>798.9</v>
      </c>
      <c r="T138" s="36">
        <f t="shared" si="18"/>
        <v>2177.05</v>
      </c>
    </row>
    <row r="139" spans="1:20">
      <c r="A139" s="37">
        <v>45398</v>
      </c>
      <c r="B139" s="38" t="s">
        <v>144</v>
      </c>
      <c r="C139" s="38" t="s">
        <v>145</v>
      </c>
      <c r="D139" s="38" t="s">
        <v>146</v>
      </c>
      <c r="E139" s="38" t="s">
        <v>1571</v>
      </c>
      <c r="F139" s="38">
        <f t="shared" si="19"/>
        <v>2024</v>
      </c>
      <c r="G139" s="38" t="str">
        <f t="shared" si="20"/>
        <v>April</v>
      </c>
      <c r="H139" s="30">
        <v>167205</v>
      </c>
      <c r="I139" s="30">
        <v>5074</v>
      </c>
      <c r="J139" s="39">
        <v>1208</v>
      </c>
      <c r="K139" s="39">
        <v>604</v>
      </c>
      <c r="L139" s="39">
        <v>322</v>
      </c>
      <c r="M139" s="40">
        <v>115667.4</v>
      </c>
      <c r="N139" s="40">
        <v>2387204.39</v>
      </c>
      <c r="O139" s="33">
        <f t="shared" si="23"/>
        <v>3.03</v>
      </c>
      <c r="P139" s="34">
        <f t="shared" si="21"/>
        <v>95.7511589403973</v>
      </c>
      <c r="Q139" s="35">
        <f t="shared" si="22"/>
        <v>20.6385238191573</v>
      </c>
      <c r="R139" s="35">
        <f t="shared" si="16"/>
        <v>22.7960977532519</v>
      </c>
      <c r="S139" s="33">
        <f t="shared" si="17"/>
        <v>691.77</v>
      </c>
      <c r="T139" s="36">
        <f t="shared" si="18"/>
        <v>1963.85</v>
      </c>
    </row>
    <row r="140" spans="1:20">
      <c r="A140" s="28">
        <v>45399</v>
      </c>
      <c r="B140" s="29" t="s">
        <v>144</v>
      </c>
      <c r="C140" s="29" t="s">
        <v>145</v>
      </c>
      <c r="D140" s="29" t="s">
        <v>146</v>
      </c>
      <c r="E140" s="29" t="s">
        <v>1571</v>
      </c>
      <c r="F140" s="29">
        <f t="shared" si="19"/>
        <v>2024</v>
      </c>
      <c r="G140" s="29" t="str">
        <f t="shared" si="20"/>
        <v>April</v>
      </c>
      <c r="H140" s="30">
        <v>234584</v>
      </c>
      <c r="I140" s="30">
        <v>15677</v>
      </c>
      <c r="J140" s="31">
        <v>3010</v>
      </c>
      <c r="K140" s="31">
        <v>1913</v>
      </c>
      <c r="L140" s="31">
        <v>842</v>
      </c>
      <c r="M140" s="32">
        <v>190234.63</v>
      </c>
      <c r="N140" s="32">
        <v>4025666.51</v>
      </c>
      <c r="O140" s="33">
        <f t="shared" si="23"/>
        <v>6.68</v>
      </c>
      <c r="P140" s="34">
        <f t="shared" si="21"/>
        <v>63.2008737541528</v>
      </c>
      <c r="Q140" s="35">
        <f t="shared" si="22"/>
        <v>21.1615861423338</v>
      </c>
      <c r="R140" s="35">
        <f t="shared" si="16"/>
        <v>12.134632263826</v>
      </c>
      <c r="S140" s="33">
        <f t="shared" si="17"/>
        <v>810.94</v>
      </c>
      <c r="T140" s="36">
        <f t="shared" si="18"/>
        <v>2016.16</v>
      </c>
    </row>
    <row r="141" spans="1:20">
      <c r="A141" s="37">
        <v>45400</v>
      </c>
      <c r="B141" s="38" t="s">
        <v>144</v>
      </c>
      <c r="C141" s="38" t="s">
        <v>145</v>
      </c>
      <c r="D141" s="38" t="s">
        <v>146</v>
      </c>
      <c r="E141" s="38" t="s">
        <v>1571</v>
      </c>
      <c r="F141" s="38">
        <f t="shared" si="19"/>
        <v>2024</v>
      </c>
      <c r="G141" s="38" t="str">
        <f t="shared" si="20"/>
        <v>April</v>
      </c>
      <c r="H141" s="30">
        <v>50267</v>
      </c>
      <c r="I141" s="30">
        <v>3518</v>
      </c>
      <c r="J141" s="39">
        <v>817</v>
      </c>
      <c r="K141" s="39">
        <v>515</v>
      </c>
      <c r="L141" s="39">
        <v>226</v>
      </c>
      <c r="M141" s="40">
        <v>39781.59</v>
      </c>
      <c r="N141" s="40">
        <v>893338.11</v>
      </c>
      <c r="O141" s="33">
        <f t="shared" si="23"/>
        <v>7</v>
      </c>
      <c r="P141" s="34">
        <f t="shared" si="21"/>
        <v>48.692276621787</v>
      </c>
      <c r="Q141" s="35">
        <f t="shared" si="22"/>
        <v>22.4560684980163</v>
      </c>
      <c r="R141" s="35">
        <f t="shared" si="16"/>
        <v>11.3080130756111</v>
      </c>
      <c r="S141" s="33">
        <f t="shared" si="17"/>
        <v>791.41</v>
      </c>
      <c r="T141" s="36">
        <f t="shared" si="18"/>
        <v>2145.61</v>
      </c>
    </row>
    <row r="142" spans="1:20">
      <c r="A142" s="28">
        <v>45401</v>
      </c>
      <c r="B142" s="29" t="s">
        <v>144</v>
      </c>
      <c r="C142" s="29" t="s">
        <v>145</v>
      </c>
      <c r="D142" s="29" t="s">
        <v>146</v>
      </c>
      <c r="E142" s="29" t="s">
        <v>1571</v>
      </c>
      <c r="F142" s="29">
        <f t="shared" si="19"/>
        <v>2024</v>
      </c>
      <c r="G142" s="29" t="str">
        <f t="shared" si="20"/>
        <v>April</v>
      </c>
      <c r="H142" s="30">
        <v>147737</v>
      </c>
      <c r="I142" s="30">
        <v>9789</v>
      </c>
      <c r="J142" s="31">
        <v>2427</v>
      </c>
      <c r="K142" s="31">
        <v>1461</v>
      </c>
      <c r="L142" s="31">
        <v>710</v>
      </c>
      <c r="M142" s="32">
        <v>115882.02</v>
      </c>
      <c r="N142" s="32">
        <v>4999994.77</v>
      </c>
      <c r="O142" s="33">
        <f t="shared" si="23"/>
        <v>6.63</v>
      </c>
      <c r="P142" s="34">
        <f t="shared" si="21"/>
        <v>47.747021013597</v>
      </c>
      <c r="Q142" s="35">
        <f t="shared" si="22"/>
        <v>43.1472869561645</v>
      </c>
      <c r="R142" s="35">
        <f t="shared" si="16"/>
        <v>11.8379834508121</v>
      </c>
      <c r="S142" s="33">
        <f t="shared" si="17"/>
        <v>784.38</v>
      </c>
      <c r="T142" s="36">
        <f t="shared" si="18"/>
        <v>4214.73</v>
      </c>
    </row>
    <row r="143" spans="1:20">
      <c r="A143" s="37">
        <v>45402</v>
      </c>
      <c r="B143" s="38" t="s">
        <v>144</v>
      </c>
      <c r="C143" s="38" t="s">
        <v>145</v>
      </c>
      <c r="D143" s="38" t="s">
        <v>146</v>
      </c>
      <c r="E143" s="38" t="s">
        <v>1571</v>
      </c>
      <c r="F143" s="38">
        <f t="shared" si="19"/>
        <v>2024</v>
      </c>
      <c r="G143" s="38" t="str">
        <f t="shared" si="20"/>
        <v>April</v>
      </c>
      <c r="H143" s="30">
        <v>103945</v>
      </c>
      <c r="I143" s="30">
        <v>5827</v>
      </c>
      <c r="J143" s="39">
        <v>1089</v>
      </c>
      <c r="K143" s="39">
        <v>686</v>
      </c>
      <c r="L143" s="39">
        <v>290</v>
      </c>
      <c r="M143" s="40">
        <v>45623.84</v>
      </c>
      <c r="N143" s="40">
        <v>1291459.42</v>
      </c>
      <c r="O143" s="33">
        <f t="shared" si="23"/>
        <v>5.61</v>
      </c>
      <c r="P143" s="34">
        <f t="shared" si="21"/>
        <v>41.8951698806244</v>
      </c>
      <c r="Q143" s="35">
        <f t="shared" si="22"/>
        <v>28.3066795780452</v>
      </c>
      <c r="R143" s="35">
        <f t="shared" si="16"/>
        <v>7.82973056461301</v>
      </c>
      <c r="S143" s="33">
        <f t="shared" si="17"/>
        <v>438.92</v>
      </c>
      <c r="T143" s="36">
        <f t="shared" si="18"/>
        <v>2730.67</v>
      </c>
    </row>
    <row r="144" spans="1:20">
      <c r="A144" s="28">
        <v>45403</v>
      </c>
      <c r="B144" s="29" t="s">
        <v>144</v>
      </c>
      <c r="C144" s="29" t="s">
        <v>145</v>
      </c>
      <c r="D144" s="29" t="s">
        <v>146</v>
      </c>
      <c r="E144" s="29" t="s">
        <v>1571</v>
      </c>
      <c r="F144" s="29">
        <f t="shared" si="19"/>
        <v>2024</v>
      </c>
      <c r="G144" s="29" t="str">
        <f t="shared" si="20"/>
        <v>April</v>
      </c>
      <c r="H144" s="30">
        <v>180309</v>
      </c>
      <c r="I144" s="30">
        <v>13125</v>
      </c>
      <c r="J144" s="31">
        <v>2445</v>
      </c>
      <c r="K144" s="31">
        <v>1328</v>
      </c>
      <c r="L144" s="31">
        <v>595</v>
      </c>
      <c r="M144" s="32">
        <v>107078.07</v>
      </c>
      <c r="N144" s="32">
        <v>4718406.56</v>
      </c>
      <c r="O144" s="33">
        <f t="shared" si="23"/>
        <v>7.28</v>
      </c>
      <c r="P144" s="34">
        <f t="shared" si="21"/>
        <v>43.7947116564417</v>
      </c>
      <c r="Q144" s="35">
        <f t="shared" si="22"/>
        <v>44.0651065152743</v>
      </c>
      <c r="R144" s="35">
        <f t="shared" si="16"/>
        <v>8.15832914285714</v>
      </c>
      <c r="S144" s="33">
        <f t="shared" si="17"/>
        <v>593.86</v>
      </c>
      <c r="T144" s="36">
        <f t="shared" si="18"/>
        <v>4306.51</v>
      </c>
    </row>
    <row r="145" spans="1:20">
      <c r="A145" s="37">
        <v>45404</v>
      </c>
      <c r="B145" s="38" t="s">
        <v>144</v>
      </c>
      <c r="C145" s="38" t="s">
        <v>145</v>
      </c>
      <c r="D145" s="38" t="s">
        <v>146</v>
      </c>
      <c r="E145" s="38" t="s">
        <v>1571</v>
      </c>
      <c r="F145" s="38">
        <f t="shared" si="19"/>
        <v>2024</v>
      </c>
      <c r="G145" s="38" t="str">
        <f t="shared" si="20"/>
        <v>April</v>
      </c>
      <c r="H145" s="30">
        <v>165998</v>
      </c>
      <c r="I145" s="30">
        <v>7203</v>
      </c>
      <c r="J145" s="39">
        <v>1295</v>
      </c>
      <c r="K145" s="39">
        <v>834</v>
      </c>
      <c r="L145" s="39">
        <v>489</v>
      </c>
      <c r="M145" s="40">
        <v>155076.27</v>
      </c>
      <c r="N145" s="40">
        <v>3804206.8</v>
      </c>
      <c r="O145" s="33">
        <f t="shared" si="23"/>
        <v>4.34</v>
      </c>
      <c r="P145" s="34">
        <f t="shared" si="21"/>
        <v>119.750015444015</v>
      </c>
      <c r="Q145" s="35">
        <f t="shared" si="22"/>
        <v>24.5311987449788</v>
      </c>
      <c r="R145" s="35">
        <f t="shared" si="16"/>
        <v>21.5294002498959</v>
      </c>
      <c r="S145" s="33">
        <f t="shared" si="17"/>
        <v>934.21</v>
      </c>
      <c r="T145" s="36">
        <f t="shared" si="18"/>
        <v>2353.12</v>
      </c>
    </row>
    <row r="146" spans="1:20">
      <c r="A146" s="28">
        <v>45405</v>
      </c>
      <c r="B146" s="29" t="s">
        <v>144</v>
      </c>
      <c r="C146" s="29" t="s">
        <v>145</v>
      </c>
      <c r="D146" s="29" t="s">
        <v>146</v>
      </c>
      <c r="E146" s="29" t="s">
        <v>1571</v>
      </c>
      <c r="F146" s="29">
        <f t="shared" si="19"/>
        <v>2024</v>
      </c>
      <c r="G146" s="29" t="str">
        <f t="shared" si="20"/>
        <v>April</v>
      </c>
      <c r="H146" s="30">
        <v>204547</v>
      </c>
      <c r="I146" s="30">
        <v>9363</v>
      </c>
      <c r="J146" s="31">
        <v>1756</v>
      </c>
      <c r="K146" s="31">
        <v>1126</v>
      </c>
      <c r="L146" s="31">
        <v>509</v>
      </c>
      <c r="M146" s="32">
        <v>150706.37</v>
      </c>
      <c r="N146" s="32">
        <v>2219931.49</v>
      </c>
      <c r="O146" s="33">
        <f t="shared" si="23"/>
        <v>4.58</v>
      </c>
      <c r="P146" s="34">
        <f t="shared" si="21"/>
        <v>85.8236731207289</v>
      </c>
      <c r="Q146" s="35">
        <f t="shared" si="22"/>
        <v>14.7301768996228</v>
      </c>
      <c r="R146" s="35">
        <f t="shared" si="16"/>
        <v>16.0959489479868</v>
      </c>
      <c r="S146" s="33">
        <f t="shared" si="17"/>
        <v>736.78</v>
      </c>
      <c r="T146" s="36">
        <f t="shared" si="18"/>
        <v>1373.02</v>
      </c>
    </row>
    <row r="147" spans="1:20">
      <c r="A147" s="37">
        <v>45406</v>
      </c>
      <c r="B147" s="38" t="s">
        <v>144</v>
      </c>
      <c r="C147" s="38" t="s">
        <v>145</v>
      </c>
      <c r="D147" s="38" t="s">
        <v>146</v>
      </c>
      <c r="E147" s="38" t="s">
        <v>1571</v>
      </c>
      <c r="F147" s="38">
        <f t="shared" si="19"/>
        <v>2024</v>
      </c>
      <c r="G147" s="38" t="str">
        <f t="shared" si="20"/>
        <v>April</v>
      </c>
      <c r="H147" s="30">
        <v>124784</v>
      </c>
      <c r="I147" s="30">
        <v>7174</v>
      </c>
      <c r="J147" s="39">
        <v>1288</v>
      </c>
      <c r="K147" s="39">
        <v>783</v>
      </c>
      <c r="L147" s="39">
        <v>351</v>
      </c>
      <c r="M147" s="40">
        <v>103744.92</v>
      </c>
      <c r="N147" s="40">
        <v>1765941.04</v>
      </c>
      <c r="O147" s="33">
        <f t="shared" si="23"/>
        <v>5.75</v>
      </c>
      <c r="P147" s="34">
        <f t="shared" si="21"/>
        <v>80.547298136646</v>
      </c>
      <c r="Q147" s="35">
        <f t="shared" si="22"/>
        <v>17.021951918224</v>
      </c>
      <c r="R147" s="35">
        <f t="shared" si="16"/>
        <v>14.4612378031781</v>
      </c>
      <c r="S147" s="33">
        <f t="shared" si="17"/>
        <v>831.4</v>
      </c>
      <c r="T147" s="36">
        <f t="shared" si="18"/>
        <v>1602.2</v>
      </c>
    </row>
    <row r="148" spans="1:20">
      <c r="A148" s="28">
        <v>45407</v>
      </c>
      <c r="B148" s="29" t="s">
        <v>144</v>
      </c>
      <c r="C148" s="29" t="s">
        <v>145</v>
      </c>
      <c r="D148" s="29" t="s">
        <v>146</v>
      </c>
      <c r="E148" s="29" t="s">
        <v>1571</v>
      </c>
      <c r="F148" s="29">
        <f t="shared" si="19"/>
        <v>2024</v>
      </c>
      <c r="G148" s="29" t="str">
        <f t="shared" si="20"/>
        <v>April</v>
      </c>
      <c r="H148" s="30">
        <v>132967</v>
      </c>
      <c r="I148" s="30">
        <v>10361</v>
      </c>
      <c r="J148" s="31">
        <v>1745</v>
      </c>
      <c r="K148" s="31">
        <v>990</v>
      </c>
      <c r="L148" s="31">
        <v>467</v>
      </c>
      <c r="M148" s="32">
        <v>65512.99</v>
      </c>
      <c r="N148" s="32">
        <v>1832026.4</v>
      </c>
      <c r="O148" s="33">
        <f t="shared" si="23"/>
        <v>7.79</v>
      </c>
      <c r="P148" s="34">
        <f t="shared" si="21"/>
        <v>37.5432607449857</v>
      </c>
      <c r="Q148" s="35">
        <f t="shared" si="22"/>
        <v>27.9643228007148</v>
      </c>
      <c r="R148" s="35">
        <f t="shared" si="16"/>
        <v>6.32303735160699</v>
      </c>
      <c r="S148" s="33">
        <f t="shared" si="17"/>
        <v>492.7</v>
      </c>
      <c r="T148" s="36">
        <f t="shared" si="18"/>
        <v>2696.43</v>
      </c>
    </row>
    <row r="149" spans="1:20">
      <c r="A149" s="37">
        <v>45408</v>
      </c>
      <c r="B149" s="38" t="s">
        <v>144</v>
      </c>
      <c r="C149" s="38" t="s">
        <v>145</v>
      </c>
      <c r="D149" s="38" t="s">
        <v>146</v>
      </c>
      <c r="E149" s="38" t="s">
        <v>1571</v>
      </c>
      <c r="F149" s="38">
        <f t="shared" si="19"/>
        <v>2024</v>
      </c>
      <c r="G149" s="38" t="str">
        <f t="shared" si="20"/>
        <v>April</v>
      </c>
      <c r="H149" s="30">
        <v>260506</v>
      </c>
      <c r="I149" s="30">
        <v>13356</v>
      </c>
      <c r="J149" s="39">
        <v>3163</v>
      </c>
      <c r="K149" s="39">
        <v>1998</v>
      </c>
      <c r="L149" s="39">
        <v>854</v>
      </c>
      <c r="M149" s="40">
        <v>256268.15</v>
      </c>
      <c r="N149" s="40">
        <v>4686283.68</v>
      </c>
      <c r="O149" s="33">
        <f t="shared" si="23"/>
        <v>5.13</v>
      </c>
      <c r="P149" s="34">
        <f t="shared" si="21"/>
        <v>81.0205975339867</v>
      </c>
      <c r="Q149" s="35">
        <f t="shared" si="22"/>
        <v>18.2866410827877</v>
      </c>
      <c r="R149" s="35">
        <f t="shared" si="16"/>
        <v>19.1874925127284</v>
      </c>
      <c r="S149" s="33">
        <f t="shared" si="17"/>
        <v>983.73</v>
      </c>
      <c r="T149" s="36">
        <f t="shared" si="18"/>
        <v>1728.66</v>
      </c>
    </row>
    <row r="150" spans="1:20">
      <c r="A150" s="28">
        <v>45409</v>
      </c>
      <c r="B150" s="29" t="s">
        <v>144</v>
      </c>
      <c r="C150" s="29" t="s">
        <v>145</v>
      </c>
      <c r="D150" s="29" t="s">
        <v>146</v>
      </c>
      <c r="E150" s="29" t="s">
        <v>1571</v>
      </c>
      <c r="F150" s="29">
        <f t="shared" si="19"/>
        <v>2024</v>
      </c>
      <c r="G150" s="29" t="str">
        <f t="shared" si="20"/>
        <v>April</v>
      </c>
      <c r="H150" s="30">
        <v>229208</v>
      </c>
      <c r="I150" s="30">
        <v>9355</v>
      </c>
      <c r="J150" s="31">
        <v>2081</v>
      </c>
      <c r="K150" s="31">
        <v>1043</v>
      </c>
      <c r="L150" s="31">
        <v>469</v>
      </c>
      <c r="M150" s="32">
        <v>178259.19</v>
      </c>
      <c r="N150" s="32">
        <v>2674523.87</v>
      </c>
      <c r="O150" s="33">
        <f t="shared" si="23"/>
        <v>4.08</v>
      </c>
      <c r="P150" s="34">
        <f t="shared" si="21"/>
        <v>85.660350792888</v>
      </c>
      <c r="Q150" s="35">
        <f t="shared" si="22"/>
        <v>15.0035679506902</v>
      </c>
      <c r="R150" s="35">
        <f t="shared" si="16"/>
        <v>19.0549641902726</v>
      </c>
      <c r="S150" s="33">
        <f t="shared" si="17"/>
        <v>777.72</v>
      </c>
      <c r="T150" s="36">
        <f t="shared" si="18"/>
        <v>1400.36</v>
      </c>
    </row>
    <row r="151" spans="1:20">
      <c r="A151" s="37">
        <v>45410</v>
      </c>
      <c r="B151" s="38" t="s">
        <v>144</v>
      </c>
      <c r="C151" s="38" t="s">
        <v>145</v>
      </c>
      <c r="D151" s="38" t="s">
        <v>146</v>
      </c>
      <c r="E151" s="38" t="s">
        <v>1571</v>
      </c>
      <c r="F151" s="38">
        <f t="shared" si="19"/>
        <v>2024</v>
      </c>
      <c r="G151" s="38" t="str">
        <f t="shared" si="20"/>
        <v>April</v>
      </c>
      <c r="H151" s="30">
        <v>171241</v>
      </c>
      <c r="I151" s="30">
        <v>7348</v>
      </c>
      <c r="J151" s="39">
        <v>1294</v>
      </c>
      <c r="K151" s="39">
        <v>719</v>
      </c>
      <c r="L151" s="39">
        <v>302</v>
      </c>
      <c r="M151" s="40">
        <v>85665.34</v>
      </c>
      <c r="N151" s="40">
        <v>1939708.81</v>
      </c>
      <c r="O151" s="33">
        <f t="shared" si="23"/>
        <v>4.29</v>
      </c>
      <c r="P151" s="34">
        <f t="shared" si="21"/>
        <v>66.2019629057187</v>
      </c>
      <c r="Q151" s="35">
        <f t="shared" si="22"/>
        <v>22.6428659478851</v>
      </c>
      <c r="R151" s="35">
        <f t="shared" si="16"/>
        <v>11.6583206314643</v>
      </c>
      <c r="S151" s="33">
        <f t="shared" si="17"/>
        <v>500.26</v>
      </c>
      <c r="T151" s="36">
        <f t="shared" si="18"/>
        <v>2164.29</v>
      </c>
    </row>
    <row r="152" spans="1:20">
      <c r="A152" s="28">
        <v>45411</v>
      </c>
      <c r="B152" s="29" t="s">
        <v>144</v>
      </c>
      <c r="C152" s="29" t="s">
        <v>145</v>
      </c>
      <c r="D152" s="29" t="s">
        <v>146</v>
      </c>
      <c r="E152" s="29" t="s">
        <v>1571</v>
      </c>
      <c r="F152" s="29">
        <f t="shared" si="19"/>
        <v>2024</v>
      </c>
      <c r="G152" s="29" t="str">
        <f t="shared" si="20"/>
        <v>April</v>
      </c>
      <c r="H152" s="30">
        <v>161956</v>
      </c>
      <c r="I152" s="30">
        <v>10797</v>
      </c>
      <c r="J152" s="31">
        <v>1786</v>
      </c>
      <c r="K152" s="31">
        <v>1036</v>
      </c>
      <c r="L152" s="31">
        <v>542</v>
      </c>
      <c r="M152" s="32">
        <v>150183.86</v>
      </c>
      <c r="N152" s="32">
        <v>2235498.12</v>
      </c>
      <c r="O152" s="33">
        <f t="shared" si="23"/>
        <v>6.67</v>
      </c>
      <c r="P152" s="34">
        <f t="shared" si="21"/>
        <v>84.0895072788354</v>
      </c>
      <c r="Q152" s="35">
        <f t="shared" si="22"/>
        <v>14.8850756665863</v>
      </c>
      <c r="R152" s="35">
        <f t="shared" si="16"/>
        <v>13.909776789849</v>
      </c>
      <c r="S152" s="33">
        <f t="shared" si="17"/>
        <v>927.31</v>
      </c>
      <c r="T152" s="36">
        <f t="shared" si="18"/>
        <v>1388.51</v>
      </c>
    </row>
    <row r="153" spans="1:20">
      <c r="A153" s="37">
        <v>45412</v>
      </c>
      <c r="B153" s="38" t="s">
        <v>144</v>
      </c>
      <c r="C153" s="38" t="s">
        <v>145</v>
      </c>
      <c r="D153" s="38" t="s">
        <v>146</v>
      </c>
      <c r="E153" s="38" t="s">
        <v>1571</v>
      </c>
      <c r="F153" s="38">
        <f t="shared" si="19"/>
        <v>2024</v>
      </c>
      <c r="G153" s="38" t="str">
        <f t="shared" si="20"/>
        <v>April</v>
      </c>
      <c r="H153" s="30">
        <v>61492</v>
      </c>
      <c r="I153" s="30">
        <v>4436</v>
      </c>
      <c r="J153" s="39">
        <v>909</v>
      </c>
      <c r="K153" s="39">
        <v>457</v>
      </c>
      <c r="L153" s="39">
        <v>244</v>
      </c>
      <c r="M153" s="40">
        <v>50083.82</v>
      </c>
      <c r="N153" s="40">
        <v>751942.31</v>
      </c>
      <c r="O153" s="33">
        <f t="shared" si="23"/>
        <v>7.21</v>
      </c>
      <c r="P153" s="34">
        <f t="shared" si="21"/>
        <v>55.0977117711771</v>
      </c>
      <c r="Q153" s="35">
        <f t="shared" si="22"/>
        <v>15.0136772714222</v>
      </c>
      <c r="R153" s="35">
        <f t="shared" si="16"/>
        <v>11.290311091073</v>
      </c>
      <c r="S153" s="33">
        <f t="shared" si="17"/>
        <v>814.48</v>
      </c>
      <c r="T153" s="36">
        <f t="shared" si="18"/>
        <v>1401.37</v>
      </c>
    </row>
    <row r="154" spans="1:20">
      <c r="A154" s="28">
        <v>45296</v>
      </c>
      <c r="B154" s="29" t="s">
        <v>144</v>
      </c>
      <c r="C154" s="29" t="s">
        <v>145</v>
      </c>
      <c r="D154" s="29" t="s">
        <v>146</v>
      </c>
      <c r="E154" s="29" t="s">
        <v>1571</v>
      </c>
      <c r="F154" s="29">
        <f t="shared" si="19"/>
        <v>2024</v>
      </c>
      <c r="G154" s="29" t="str">
        <f t="shared" si="20"/>
        <v>January</v>
      </c>
      <c r="H154" s="30">
        <v>203882</v>
      </c>
      <c r="I154" s="30">
        <v>9925</v>
      </c>
      <c r="J154" s="31">
        <v>2110</v>
      </c>
      <c r="K154" s="31">
        <v>963</v>
      </c>
      <c r="L154" s="31">
        <v>504</v>
      </c>
      <c r="M154" s="32">
        <v>181726.55</v>
      </c>
      <c r="N154" s="32">
        <v>3279195.9</v>
      </c>
      <c r="O154" s="33">
        <f t="shared" si="23"/>
        <v>4.87</v>
      </c>
      <c r="P154" s="34">
        <f t="shared" si="21"/>
        <v>86.126327014218</v>
      </c>
      <c r="Q154" s="35">
        <f t="shared" si="22"/>
        <v>18.0446715133259</v>
      </c>
      <c r="R154" s="35">
        <f t="shared" si="16"/>
        <v>18.3099798488665</v>
      </c>
      <c r="S154" s="33">
        <f t="shared" si="17"/>
        <v>891.33</v>
      </c>
      <c r="T154" s="36">
        <f t="shared" si="18"/>
        <v>1704.47</v>
      </c>
    </row>
    <row r="155" spans="1:20">
      <c r="A155" s="37">
        <v>45327</v>
      </c>
      <c r="B155" s="38" t="s">
        <v>144</v>
      </c>
      <c r="C155" s="38" t="s">
        <v>145</v>
      </c>
      <c r="D155" s="38" t="s">
        <v>146</v>
      </c>
      <c r="E155" s="38" t="s">
        <v>1571</v>
      </c>
      <c r="F155" s="38">
        <f t="shared" si="19"/>
        <v>2024</v>
      </c>
      <c r="G155" s="38" t="str">
        <f t="shared" si="20"/>
        <v>February</v>
      </c>
      <c r="H155" s="30">
        <v>52572</v>
      </c>
      <c r="I155" s="30">
        <v>2746</v>
      </c>
      <c r="J155" s="39">
        <v>633</v>
      </c>
      <c r="K155" s="39">
        <v>286</v>
      </c>
      <c r="L155" s="39">
        <v>115</v>
      </c>
      <c r="M155" s="40">
        <v>31495.18</v>
      </c>
      <c r="N155" s="40">
        <v>721471.98</v>
      </c>
      <c r="O155" s="33">
        <f t="shared" si="23"/>
        <v>5.22</v>
      </c>
      <c r="P155" s="34">
        <f t="shared" si="21"/>
        <v>49.7554186413902</v>
      </c>
      <c r="Q155" s="35">
        <f t="shared" si="22"/>
        <v>22.9073775733303</v>
      </c>
      <c r="R155" s="35">
        <f t="shared" si="16"/>
        <v>11.469475600874</v>
      </c>
      <c r="S155" s="33">
        <f t="shared" si="17"/>
        <v>599.09</v>
      </c>
      <c r="T155" s="36">
        <f t="shared" si="18"/>
        <v>2190.74</v>
      </c>
    </row>
    <row r="156" spans="1:20">
      <c r="A156" s="28">
        <v>45356</v>
      </c>
      <c r="B156" s="29" t="s">
        <v>144</v>
      </c>
      <c r="C156" s="29" t="s">
        <v>145</v>
      </c>
      <c r="D156" s="29" t="s">
        <v>146</v>
      </c>
      <c r="E156" s="29" t="s">
        <v>1571</v>
      </c>
      <c r="F156" s="29">
        <f t="shared" si="19"/>
        <v>2024</v>
      </c>
      <c r="G156" s="29" t="str">
        <f t="shared" si="20"/>
        <v>March</v>
      </c>
      <c r="H156" s="30">
        <v>182398</v>
      </c>
      <c r="I156" s="30">
        <v>9821</v>
      </c>
      <c r="J156" s="31">
        <v>2358</v>
      </c>
      <c r="K156" s="31">
        <v>1144</v>
      </c>
      <c r="L156" s="31">
        <v>659</v>
      </c>
      <c r="M156" s="32">
        <v>117138.56</v>
      </c>
      <c r="N156" s="32">
        <v>4142036.47</v>
      </c>
      <c r="O156" s="33">
        <f t="shared" si="23"/>
        <v>5.38</v>
      </c>
      <c r="P156" s="34">
        <f t="shared" si="21"/>
        <v>49.6770822731128</v>
      </c>
      <c r="Q156" s="35">
        <f t="shared" si="22"/>
        <v>35.3601450282469</v>
      </c>
      <c r="R156" s="35">
        <f t="shared" si="16"/>
        <v>11.9273556664291</v>
      </c>
      <c r="S156" s="33">
        <f t="shared" si="17"/>
        <v>642.21</v>
      </c>
      <c r="T156" s="36">
        <f t="shared" si="18"/>
        <v>3436.01</v>
      </c>
    </row>
    <row r="157" spans="1:20">
      <c r="A157" s="37">
        <v>45387</v>
      </c>
      <c r="B157" s="38" t="s">
        <v>144</v>
      </c>
      <c r="C157" s="38" t="s">
        <v>145</v>
      </c>
      <c r="D157" s="38" t="s">
        <v>146</v>
      </c>
      <c r="E157" s="38" t="s">
        <v>1571</v>
      </c>
      <c r="F157" s="38">
        <f t="shared" si="19"/>
        <v>2024</v>
      </c>
      <c r="G157" s="38" t="str">
        <f t="shared" si="20"/>
        <v>April</v>
      </c>
      <c r="H157" s="30">
        <v>291292</v>
      </c>
      <c r="I157" s="30">
        <v>19445</v>
      </c>
      <c r="J157" s="39">
        <v>3115</v>
      </c>
      <c r="K157" s="39">
        <v>1736</v>
      </c>
      <c r="L157" s="39">
        <v>1028</v>
      </c>
      <c r="M157" s="40">
        <v>264152.72</v>
      </c>
      <c r="N157" s="40">
        <v>6279650.61</v>
      </c>
      <c r="O157" s="33">
        <f t="shared" si="23"/>
        <v>6.68</v>
      </c>
      <c r="P157" s="34">
        <f t="shared" si="21"/>
        <v>84.8002311396469</v>
      </c>
      <c r="Q157" s="35">
        <f t="shared" si="22"/>
        <v>23.7728031344898</v>
      </c>
      <c r="R157" s="35">
        <f t="shared" si="16"/>
        <v>13.5846088968887</v>
      </c>
      <c r="S157" s="33">
        <f t="shared" si="17"/>
        <v>906.83</v>
      </c>
      <c r="T157" s="36">
        <f t="shared" si="18"/>
        <v>2277.28</v>
      </c>
    </row>
    <row r="158" spans="1:20">
      <c r="A158" s="28">
        <v>45417</v>
      </c>
      <c r="B158" s="29" t="s">
        <v>144</v>
      </c>
      <c r="C158" s="29" t="s">
        <v>145</v>
      </c>
      <c r="D158" s="29" t="s">
        <v>146</v>
      </c>
      <c r="E158" s="29" t="s">
        <v>1571</v>
      </c>
      <c r="F158" s="29">
        <f t="shared" si="19"/>
        <v>2024</v>
      </c>
      <c r="G158" s="29" t="str">
        <f t="shared" si="20"/>
        <v>May</v>
      </c>
      <c r="H158" s="30">
        <v>209896</v>
      </c>
      <c r="I158" s="30">
        <v>11020</v>
      </c>
      <c r="J158" s="31">
        <v>2016</v>
      </c>
      <c r="K158" s="31">
        <v>1282</v>
      </c>
      <c r="L158" s="31">
        <v>676</v>
      </c>
      <c r="M158" s="32">
        <v>134786.32</v>
      </c>
      <c r="N158" s="32">
        <v>5166291.92</v>
      </c>
      <c r="O158" s="33">
        <f t="shared" si="23"/>
        <v>5.25</v>
      </c>
      <c r="P158" s="34">
        <f t="shared" si="21"/>
        <v>66.8582936507937</v>
      </c>
      <c r="Q158" s="35">
        <f t="shared" si="22"/>
        <v>38.3294975335776</v>
      </c>
      <c r="R158" s="35">
        <f t="shared" si="16"/>
        <v>12.2310635208711</v>
      </c>
      <c r="S158" s="33">
        <f t="shared" si="17"/>
        <v>642.16</v>
      </c>
      <c r="T158" s="36">
        <f t="shared" si="18"/>
        <v>3732.95</v>
      </c>
    </row>
    <row r="159" spans="1:20">
      <c r="A159" s="37">
        <v>45448</v>
      </c>
      <c r="B159" s="38" t="s">
        <v>144</v>
      </c>
      <c r="C159" s="38" t="s">
        <v>145</v>
      </c>
      <c r="D159" s="38" t="s">
        <v>146</v>
      </c>
      <c r="E159" s="38" t="s">
        <v>1571</v>
      </c>
      <c r="F159" s="38">
        <f t="shared" si="19"/>
        <v>2024</v>
      </c>
      <c r="G159" s="38" t="str">
        <f t="shared" si="20"/>
        <v>June</v>
      </c>
      <c r="H159" s="30">
        <v>212729</v>
      </c>
      <c r="I159" s="30">
        <v>11086</v>
      </c>
      <c r="J159" s="39">
        <v>2540</v>
      </c>
      <c r="K159" s="39">
        <v>1442</v>
      </c>
      <c r="L159" s="39">
        <v>785</v>
      </c>
      <c r="M159" s="40">
        <v>148219.13</v>
      </c>
      <c r="N159" s="40">
        <v>2403528.22</v>
      </c>
      <c r="O159" s="33">
        <f t="shared" si="23"/>
        <v>5.21</v>
      </c>
      <c r="P159" s="34">
        <f t="shared" si="21"/>
        <v>58.3539881889764</v>
      </c>
      <c r="Q159" s="35">
        <f t="shared" si="22"/>
        <v>16.216045931453</v>
      </c>
      <c r="R159" s="35">
        <f t="shared" si="16"/>
        <v>13.3699377593361</v>
      </c>
      <c r="S159" s="33">
        <f t="shared" si="17"/>
        <v>696.75</v>
      </c>
      <c r="T159" s="36">
        <f t="shared" si="18"/>
        <v>1521.6</v>
      </c>
    </row>
    <row r="160" spans="1:20">
      <c r="A160" s="28">
        <v>45478</v>
      </c>
      <c r="B160" s="29" t="s">
        <v>144</v>
      </c>
      <c r="C160" s="29" t="s">
        <v>145</v>
      </c>
      <c r="D160" s="29" t="s">
        <v>146</v>
      </c>
      <c r="E160" s="29" t="s">
        <v>1571</v>
      </c>
      <c r="F160" s="29">
        <f t="shared" si="19"/>
        <v>2024</v>
      </c>
      <c r="G160" s="29" t="str">
        <f t="shared" si="20"/>
        <v>July</v>
      </c>
      <c r="H160" s="30">
        <v>53575</v>
      </c>
      <c r="I160" s="30">
        <v>1779</v>
      </c>
      <c r="J160" s="31">
        <v>383</v>
      </c>
      <c r="K160" s="31">
        <v>198</v>
      </c>
      <c r="L160" s="31">
        <v>83</v>
      </c>
      <c r="M160" s="32">
        <v>31495.13</v>
      </c>
      <c r="N160" s="32">
        <v>562987.04</v>
      </c>
      <c r="O160" s="33">
        <f t="shared" si="23"/>
        <v>3.32</v>
      </c>
      <c r="P160" s="34">
        <f t="shared" si="21"/>
        <v>82.2327154046997</v>
      </c>
      <c r="Q160" s="35">
        <f t="shared" si="22"/>
        <v>17.8753680330896</v>
      </c>
      <c r="R160" s="35">
        <f t="shared" si="16"/>
        <v>17.7038392355256</v>
      </c>
      <c r="S160" s="33">
        <f t="shared" si="17"/>
        <v>587.87</v>
      </c>
      <c r="T160" s="36">
        <f t="shared" si="18"/>
        <v>1687.54</v>
      </c>
    </row>
    <row r="161" spans="1:20">
      <c r="A161" s="37">
        <v>45509</v>
      </c>
      <c r="B161" s="38" t="s">
        <v>144</v>
      </c>
      <c r="C161" s="38" t="s">
        <v>145</v>
      </c>
      <c r="D161" s="38" t="s">
        <v>146</v>
      </c>
      <c r="E161" s="38" t="s">
        <v>1571</v>
      </c>
      <c r="F161" s="38">
        <f t="shared" si="19"/>
        <v>2024</v>
      </c>
      <c r="G161" s="38" t="str">
        <f t="shared" si="20"/>
        <v>August</v>
      </c>
      <c r="H161" s="30">
        <v>77717</v>
      </c>
      <c r="I161" s="30">
        <v>5458</v>
      </c>
      <c r="J161" s="39">
        <v>1240</v>
      </c>
      <c r="K161" s="39">
        <v>600</v>
      </c>
      <c r="L161" s="39">
        <v>252</v>
      </c>
      <c r="M161" s="40">
        <v>39733.88</v>
      </c>
      <c r="N161" s="40">
        <v>1374432.65</v>
      </c>
      <c r="O161" s="33">
        <f t="shared" si="23"/>
        <v>7.02</v>
      </c>
      <c r="P161" s="34">
        <f t="shared" si="21"/>
        <v>32.0434516129032</v>
      </c>
      <c r="Q161" s="35">
        <f t="shared" si="22"/>
        <v>34.5909498392807</v>
      </c>
      <c r="R161" s="35">
        <f t="shared" si="16"/>
        <v>7.27993404177354</v>
      </c>
      <c r="S161" s="33">
        <f t="shared" si="17"/>
        <v>511.26</v>
      </c>
      <c r="T161" s="36">
        <f t="shared" si="18"/>
        <v>3359.09</v>
      </c>
    </row>
    <row r="162" spans="1:20">
      <c r="A162" s="28">
        <v>45540</v>
      </c>
      <c r="B162" s="29" t="s">
        <v>144</v>
      </c>
      <c r="C162" s="29" t="s">
        <v>145</v>
      </c>
      <c r="D162" s="29" t="s">
        <v>146</v>
      </c>
      <c r="E162" s="29" t="s">
        <v>1571</v>
      </c>
      <c r="F162" s="29">
        <f t="shared" si="19"/>
        <v>2024</v>
      </c>
      <c r="G162" s="29" t="str">
        <f t="shared" si="20"/>
        <v>September</v>
      </c>
      <c r="H162" s="30">
        <v>254812</v>
      </c>
      <c r="I162" s="30">
        <v>8231</v>
      </c>
      <c r="J162" s="31">
        <v>1789</v>
      </c>
      <c r="K162" s="31">
        <v>905</v>
      </c>
      <c r="L162" s="31">
        <v>508</v>
      </c>
      <c r="M162" s="32">
        <v>214463</v>
      </c>
      <c r="N162" s="32">
        <v>3712872.07</v>
      </c>
      <c r="O162" s="33">
        <f t="shared" si="23"/>
        <v>3.23</v>
      </c>
      <c r="P162" s="34">
        <f t="shared" si="21"/>
        <v>119.878703186138</v>
      </c>
      <c r="Q162" s="35">
        <f t="shared" si="22"/>
        <v>17.312413190154</v>
      </c>
      <c r="R162" s="35">
        <f t="shared" si="16"/>
        <v>26.0555218077998</v>
      </c>
      <c r="S162" s="33">
        <f t="shared" si="17"/>
        <v>841.65</v>
      </c>
      <c r="T162" s="36">
        <f t="shared" si="18"/>
        <v>1631.24</v>
      </c>
    </row>
    <row r="163" spans="1:20">
      <c r="A163" s="37">
        <v>45570</v>
      </c>
      <c r="B163" s="38" t="s">
        <v>144</v>
      </c>
      <c r="C163" s="38" t="s">
        <v>145</v>
      </c>
      <c r="D163" s="38" t="s">
        <v>146</v>
      </c>
      <c r="E163" s="38" t="s">
        <v>1571</v>
      </c>
      <c r="F163" s="38">
        <f t="shared" si="19"/>
        <v>2024</v>
      </c>
      <c r="G163" s="38" t="str">
        <f t="shared" si="20"/>
        <v>October</v>
      </c>
      <c r="H163" s="30">
        <v>159338</v>
      </c>
      <c r="I163" s="30">
        <v>8621</v>
      </c>
      <c r="J163" s="39">
        <v>1987</v>
      </c>
      <c r="K163" s="39">
        <v>1010</v>
      </c>
      <c r="L163" s="39">
        <v>560</v>
      </c>
      <c r="M163" s="40">
        <v>121166.88</v>
      </c>
      <c r="N163" s="40">
        <v>2837406.55</v>
      </c>
      <c r="O163" s="33">
        <f t="shared" si="23"/>
        <v>5.41</v>
      </c>
      <c r="P163" s="34">
        <f t="shared" si="21"/>
        <v>60.97980875692</v>
      </c>
      <c r="Q163" s="35">
        <f t="shared" si="22"/>
        <v>23.4173443270966</v>
      </c>
      <c r="R163" s="35">
        <f t="shared" si="16"/>
        <v>14.0548521053242</v>
      </c>
      <c r="S163" s="33">
        <f t="shared" si="17"/>
        <v>760.44</v>
      </c>
      <c r="T163" s="36">
        <f t="shared" si="18"/>
        <v>2241.73</v>
      </c>
    </row>
    <row r="164" spans="1:20">
      <c r="A164" s="28">
        <v>45601</v>
      </c>
      <c r="B164" s="29" t="s">
        <v>144</v>
      </c>
      <c r="C164" s="29" t="s">
        <v>145</v>
      </c>
      <c r="D164" s="29" t="s">
        <v>146</v>
      </c>
      <c r="E164" s="29" t="s">
        <v>1571</v>
      </c>
      <c r="F164" s="29">
        <f t="shared" si="19"/>
        <v>2024</v>
      </c>
      <c r="G164" s="29" t="str">
        <f t="shared" si="20"/>
        <v>November</v>
      </c>
      <c r="H164" s="30">
        <v>107691</v>
      </c>
      <c r="I164" s="30">
        <v>5395</v>
      </c>
      <c r="J164" s="31">
        <v>912</v>
      </c>
      <c r="K164" s="31">
        <v>434</v>
      </c>
      <c r="L164" s="31">
        <v>235</v>
      </c>
      <c r="M164" s="32">
        <v>50972.7</v>
      </c>
      <c r="N164" s="32">
        <v>1299358.1</v>
      </c>
      <c r="O164" s="33">
        <f t="shared" si="23"/>
        <v>5.01</v>
      </c>
      <c r="P164" s="34">
        <f t="shared" si="21"/>
        <v>55.8911184210526</v>
      </c>
      <c r="Q164" s="35">
        <f t="shared" si="22"/>
        <v>25.4912551228403</v>
      </c>
      <c r="R164" s="35">
        <f t="shared" si="16"/>
        <v>9.44813716404078</v>
      </c>
      <c r="S164" s="33">
        <f t="shared" si="17"/>
        <v>473.32</v>
      </c>
      <c r="T164" s="36">
        <f t="shared" si="18"/>
        <v>2449.13</v>
      </c>
    </row>
    <row r="165" spans="1:20">
      <c r="A165" s="37">
        <v>45631</v>
      </c>
      <c r="B165" s="38" t="s">
        <v>144</v>
      </c>
      <c r="C165" s="38" t="s">
        <v>145</v>
      </c>
      <c r="D165" s="38" t="s">
        <v>146</v>
      </c>
      <c r="E165" s="38" t="s">
        <v>1571</v>
      </c>
      <c r="F165" s="38">
        <f t="shared" si="19"/>
        <v>2024</v>
      </c>
      <c r="G165" s="38" t="str">
        <f t="shared" si="20"/>
        <v>December</v>
      </c>
      <c r="H165" s="30">
        <v>150217</v>
      </c>
      <c r="I165" s="30">
        <v>9087</v>
      </c>
      <c r="J165" s="39">
        <v>1717</v>
      </c>
      <c r="K165" s="39">
        <v>921</v>
      </c>
      <c r="L165" s="39">
        <v>420</v>
      </c>
      <c r="M165" s="40">
        <v>84200.07</v>
      </c>
      <c r="N165" s="40">
        <v>2218829.95</v>
      </c>
      <c r="O165" s="33">
        <f t="shared" si="23"/>
        <v>6.05</v>
      </c>
      <c r="P165" s="34">
        <f t="shared" si="21"/>
        <v>49.0390623179965</v>
      </c>
      <c r="Q165" s="35">
        <f t="shared" si="22"/>
        <v>26.3518777359686</v>
      </c>
      <c r="R165" s="35">
        <f t="shared" ref="R165:R228" si="24">(M165/I165)</f>
        <v>9.26599207659294</v>
      </c>
      <c r="S165" s="33">
        <f t="shared" si="17"/>
        <v>560.52</v>
      </c>
      <c r="T165" s="36">
        <f t="shared" si="18"/>
        <v>2535.19</v>
      </c>
    </row>
    <row r="166" spans="1:20">
      <c r="A166" s="28">
        <v>45425</v>
      </c>
      <c r="B166" s="29" t="s">
        <v>144</v>
      </c>
      <c r="C166" s="29" t="s">
        <v>145</v>
      </c>
      <c r="D166" s="29" t="s">
        <v>146</v>
      </c>
      <c r="E166" s="29" t="s">
        <v>1571</v>
      </c>
      <c r="F166" s="29">
        <f t="shared" si="19"/>
        <v>2024</v>
      </c>
      <c r="G166" s="29" t="str">
        <f t="shared" si="20"/>
        <v>May</v>
      </c>
      <c r="H166" s="30">
        <v>227093</v>
      </c>
      <c r="I166" s="30">
        <v>11820</v>
      </c>
      <c r="J166" s="31">
        <v>2504</v>
      </c>
      <c r="K166" s="31">
        <v>1225</v>
      </c>
      <c r="L166" s="31">
        <v>522</v>
      </c>
      <c r="M166" s="32">
        <v>192460.38</v>
      </c>
      <c r="N166" s="32">
        <v>2362547.82</v>
      </c>
      <c r="O166" s="33">
        <f t="shared" si="23"/>
        <v>5.2</v>
      </c>
      <c r="P166" s="34">
        <f t="shared" si="21"/>
        <v>76.8611741214058</v>
      </c>
      <c r="Q166" s="35">
        <f t="shared" si="22"/>
        <v>12.2755022098574</v>
      </c>
      <c r="R166" s="35">
        <f t="shared" si="24"/>
        <v>16.2826040609137</v>
      </c>
      <c r="S166" s="33">
        <f t="shared" si="17"/>
        <v>847.5</v>
      </c>
      <c r="T166" s="36">
        <f t="shared" si="18"/>
        <v>1127.55</v>
      </c>
    </row>
    <row r="167" spans="1:20">
      <c r="A167" s="37">
        <v>45426</v>
      </c>
      <c r="B167" s="38" t="s">
        <v>144</v>
      </c>
      <c r="C167" s="38" t="s">
        <v>145</v>
      </c>
      <c r="D167" s="38" t="s">
        <v>146</v>
      </c>
      <c r="E167" s="38" t="s">
        <v>1571</v>
      </c>
      <c r="F167" s="38">
        <f t="shared" si="19"/>
        <v>2024</v>
      </c>
      <c r="G167" s="38" t="str">
        <f t="shared" si="20"/>
        <v>May</v>
      </c>
      <c r="H167" s="30">
        <v>212823</v>
      </c>
      <c r="I167" s="30">
        <v>12602</v>
      </c>
      <c r="J167" s="39">
        <v>1904</v>
      </c>
      <c r="K167" s="39">
        <v>1005</v>
      </c>
      <c r="L167" s="39">
        <v>425</v>
      </c>
      <c r="M167" s="40">
        <v>107267.35</v>
      </c>
      <c r="N167" s="40">
        <v>1912334.83</v>
      </c>
      <c r="O167" s="33">
        <f t="shared" si="23"/>
        <v>5.92</v>
      </c>
      <c r="P167" s="34">
        <f t="shared" si="21"/>
        <v>56.337893907563</v>
      </c>
      <c r="Q167" s="35">
        <f t="shared" si="22"/>
        <v>17.8277437635963</v>
      </c>
      <c r="R167" s="35">
        <f t="shared" si="24"/>
        <v>8.51193064592922</v>
      </c>
      <c r="S167" s="33">
        <f t="shared" si="17"/>
        <v>504.02</v>
      </c>
      <c r="T167" s="36">
        <f t="shared" si="18"/>
        <v>1682.77</v>
      </c>
    </row>
    <row r="168" spans="1:20">
      <c r="A168" s="28">
        <v>45427</v>
      </c>
      <c r="B168" s="29" t="s">
        <v>144</v>
      </c>
      <c r="C168" s="29" t="s">
        <v>145</v>
      </c>
      <c r="D168" s="29" t="s">
        <v>146</v>
      </c>
      <c r="E168" s="29" t="s">
        <v>1571</v>
      </c>
      <c r="F168" s="29">
        <f t="shared" si="19"/>
        <v>2024</v>
      </c>
      <c r="G168" s="29" t="str">
        <f t="shared" si="20"/>
        <v>May</v>
      </c>
      <c r="H168" s="30">
        <v>129087</v>
      </c>
      <c r="I168" s="30">
        <v>4033</v>
      </c>
      <c r="J168" s="31">
        <v>640</v>
      </c>
      <c r="K168" s="31">
        <v>346</v>
      </c>
      <c r="L168" s="31">
        <v>198</v>
      </c>
      <c r="M168" s="32">
        <v>101205.53</v>
      </c>
      <c r="N168" s="32">
        <v>1581964.16</v>
      </c>
      <c r="O168" s="33">
        <f t="shared" si="23"/>
        <v>3.12</v>
      </c>
      <c r="P168" s="34">
        <f t="shared" si="21"/>
        <v>158.133640625</v>
      </c>
      <c r="Q168" s="35">
        <f t="shared" si="22"/>
        <v>15.6312027613511</v>
      </c>
      <c r="R168" s="35">
        <f t="shared" si="24"/>
        <v>25.0943540788495</v>
      </c>
      <c r="S168" s="33">
        <f t="shared" si="17"/>
        <v>784.01</v>
      </c>
      <c r="T168" s="36">
        <f t="shared" si="18"/>
        <v>1463.12</v>
      </c>
    </row>
    <row r="169" spans="1:20">
      <c r="A169" s="37">
        <v>45428</v>
      </c>
      <c r="B169" s="38" t="s">
        <v>144</v>
      </c>
      <c r="C169" s="38" t="s">
        <v>145</v>
      </c>
      <c r="D169" s="38" t="s">
        <v>146</v>
      </c>
      <c r="E169" s="38" t="s">
        <v>1571</v>
      </c>
      <c r="F169" s="38">
        <f t="shared" si="19"/>
        <v>2024</v>
      </c>
      <c r="G169" s="38" t="str">
        <f t="shared" si="20"/>
        <v>May</v>
      </c>
      <c r="H169" s="30">
        <v>95904</v>
      </c>
      <c r="I169" s="30">
        <v>4183</v>
      </c>
      <c r="J169" s="39">
        <v>667</v>
      </c>
      <c r="K169" s="39">
        <v>322</v>
      </c>
      <c r="L169" s="39">
        <v>147</v>
      </c>
      <c r="M169" s="40">
        <v>66125.77</v>
      </c>
      <c r="N169" s="40">
        <v>751735</v>
      </c>
      <c r="O169" s="33">
        <f t="shared" si="23"/>
        <v>4.36</v>
      </c>
      <c r="P169" s="34">
        <f t="shared" si="21"/>
        <v>99.1390854572714</v>
      </c>
      <c r="Q169" s="35">
        <f t="shared" si="22"/>
        <v>11.3682608157153</v>
      </c>
      <c r="R169" s="35">
        <f t="shared" si="24"/>
        <v>15.8082165909634</v>
      </c>
      <c r="S169" s="33">
        <f t="shared" ref="S169:S232" si="25">ROUND(M169/H169*1000,2)</f>
        <v>689.5</v>
      </c>
      <c r="T169" s="36">
        <f t="shared" si="18"/>
        <v>1036.83</v>
      </c>
    </row>
    <row r="170" spans="1:20">
      <c r="A170" s="28">
        <v>45429</v>
      </c>
      <c r="B170" s="29" t="s">
        <v>144</v>
      </c>
      <c r="C170" s="29" t="s">
        <v>145</v>
      </c>
      <c r="D170" s="29" t="s">
        <v>146</v>
      </c>
      <c r="E170" s="29" t="s">
        <v>1571</v>
      </c>
      <c r="F170" s="29">
        <f t="shared" si="19"/>
        <v>2024</v>
      </c>
      <c r="G170" s="29" t="str">
        <f t="shared" si="20"/>
        <v>May</v>
      </c>
      <c r="H170" s="30">
        <v>135876</v>
      </c>
      <c r="I170" s="30">
        <v>8214</v>
      </c>
      <c r="J170" s="31">
        <v>1729</v>
      </c>
      <c r="K170" s="31">
        <v>909</v>
      </c>
      <c r="L170" s="31">
        <v>441</v>
      </c>
      <c r="M170" s="32">
        <v>85485.01</v>
      </c>
      <c r="N170" s="32">
        <v>2700293.92</v>
      </c>
      <c r="O170" s="33">
        <f t="shared" si="23"/>
        <v>6.05</v>
      </c>
      <c r="P170" s="34">
        <f t="shared" si="21"/>
        <v>49.4418796992481</v>
      </c>
      <c r="Q170" s="35">
        <f t="shared" si="22"/>
        <v>31.5879230756363</v>
      </c>
      <c r="R170" s="35">
        <f t="shared" si="24"/>
        <v>10.4072327733139</v>
      </c>
      <c r="S170" s="33">
        <f t="shared" si="25"/>
        <v>629.14</v>
      </c>
      <c r="T170" s="36">
        <f t="shared" si="18"/>
        <v>3058.79</v>
      </c>
    </row>
    <row r="171" spans="1:20">
      <c r="A171" s="37">
        <v>45430</v>
      </c>
      <c r="B171" s="38" t="s">
        <v>144</v>
      </c>
      <c r="C171" s="38" t="s">
        <v>145</v>
      </c>
      <c r="D171" s="38" t="s">
        <v>146</v>
      </c>
      <c r="E171" s="38" t="s">
        <v>1571</v>
      </c>
      <c r="F171" s="38">
        <f t="shared" si="19"/>
        <v>2024</v>
      </c>
      <c r="G171" s="38" t="str">
        <f t="shared" si="20"/>
        <v>May</v>
      </c>
      <c r="H171" s="30">
        <v>280625</v>
      </c>
      <c r="I171" s="30">
        <v>14687</v>
      </c>
      <c r="J171" s="39">
        <v>2934</v>
      </c>
      <c r="K171" s="39">
        <v>1372</v>
      </c>
      <c r="L171" s="39">
        <v>655</v>
      </c>
      <c r="M171" s="40">
        <v>191298.55</v>
      </c>
      <c r="N171" s="40">
        <v>3980786.43</v>
      </c>
      <c r="O171" s="33">
        <f t="shared" si="23"/>
        <v>5.23</v>
      </c>
      <c r="P171" s="34">
        <f t="shared" si="21"/>
        <v>65.200596455351</v>
      </c>
      <c r="Q171" s="35">
        <f t="shared" si="22"/>
        <v>20.809287001914</v>
      </c>
      <c r="R171" s="35">
        <f t="shared" si="24"/>
        <v>13.0250255327841</v>
      </c>
      <c r="S171" s="33">
        <f t="shared" si="25"/>
        <v>681.69</v>
      </c>
      <c r="T171" s="36">
        <f t="shared" si="18"/>
        <v>1980.93</v>
      </c>
    </row>
    <row r="172" spans="1:20">
      <c r="A172" s="28">
        <v>45431</v>
      </c>
      <c r="B172" s="29" t="s">
        <v>144</v>
      </c>
      <c r="C172" s="29" t="s">
        <v>145</v>
      </c>
      <c r="D172" s="29" t="s">
        <v>146</v>
      </c>
      <c r="E172" s="29" t="s">
        <v>1571</v>
      </c>
      <c r="F172" s="29">
        <f t="shared" si="19"/>
        <v>2024</v>
      </c>
      <c r="G172" s="29" t="str">
        <f t="shared" si="20"/>
        <v>May</v>
      </c>
      <c r="H172" s="30">
        <v>99328</v>
      </c>
      <c r="I172" s="30">
        <v>5165</v>
      </c>
      <c r="J172" s="31">
        <v>1149</v>
      </c>
      <c r="K172" s="31">
        <v>717</v>
      </c>
      <c r="L172" s="31">
        <v>314</v>
      </c>
      <c r="M172" s="32">
        <v>59406.59</v>
      </c>
      <c r="N172" s="32">
        <v>1218839.81</v>
      </c>
      <c r="O172" s="33">
        <f t="shared" si="23"/>
        <v>5.2</v>
      </c>
      <c r="P172" s="34">
        <f t="shared" si="21"/>
        <v>51.702863359443</v>
      </c>
      <c r="Q172" s="35">
        <f t="shared" si="22"/>
        <v>20.516912517618</v>
      </c>
      <c r="R172" s="35">
        <f t="shared" si="24"/>
        <v>11.5017599225557</v>
      </c>
      <c r="S172" s="33">
        <f t="shared" si="25"/>
        <v>598.09</v>
      </c>
      <c r="T172" s="36">
        <f t="shared" si="18"/>
        <v>1951.69</v>
      </c>
    </row>
    <row r="173" spans="1:20">
      <c r="A173" s="37">
        <v>45432</v>
      </c>
      <c r="B173" s="38" t="s">
        <v>144</v>
      </c>
      <c r="C173" s="38" t="s">
        <v>145</v>
      </c>
      <c r="D173" s="38" t="s">
        <v>146</v>
      </c>
      <c r="E173" s="38" t="s">
        <v>1571</v>
      </c>
      <c r="F173" s="38">
        <f t="shared" si="19"/>
        <v>2024</v>
      </c>
      <c r="G173" s="38" t="str">
        <f t="shared" si="20"/>
        <v>May</v>
      </c>
      <c r="H173" s="30">
        <v>144094</v>
      </c>
      <c r="I173" s="30">
        <v>11075</v>
      </c>
      <c r="J173" s="39">
        <v>2057</v>
      </c>
      <c r="K173" s="39">
        <v>1117</v>
      </c>
      <c r="L173" s="39">
        <v>577</v>
      </c>
      <c r="M173" s="40">
        <v>118500.5</v>
      </c>
      <c r="N173" s="40">
        <v>3178344.45</v>
      </c>
      <c r="O173" s="33">
        <f t="shared" si="23"/>
        <v>7.69</v>
      </c>
      <c r="P173" s="34">
        <f t="shared" si="21"/>
        <v>57.6084103062713</v>
      </c>
      <c r="Q173" s="35">
        <f t="shared" si="22"/>
        <v>26.8213589816077</v>
      </c>
      <c r="R173" s="35">
        <f t="shared" si="24"/>
        <v>10.6998194130926</v>
      </c>
      <c r="S173" s="33">
        <f t="shared" si="25"/>
        <v>822.38</v>
      </c>
      <c r="T173" s="36">
        <f t="shared" si="18"/>
        <v>2582.14</v>
      </c>
    </row>
    <row r="174" spans="1:20">
      <c r="A174" s="28">
        <v>45433</v>
      </c>
      <c r="B174" s="29" t="s">
        <v>144</v>
      </c>
      <c r="C174" s="29" t="s">
        <v>145</v>
      </c>
      <c r="D174" s="29" t="s">
        <v>146</v>
      </c>
      <c r="E174" s="29" t="s">
        <v>1571</v>
      </c>
      <c r="F174" s="29">
        <f t="shared" si="19"/>
        <v>2024</v>
      </c>
      <c r="G174" s="29" t="str">
        <f t="shared" si="20"/>
        <v>May</v>
      </c>
      <c r="H174" s="30">
        <v>257103</v>
      </c>
      <c r="I174" s="30">
        <v>13993</v>
      </c>
      <c r="J174" s="31">
        <v>3038</v>
      </c>
      <c r="K174" s="31">
        <v>1674</v>
      </c>
      <c r="L174" s="31">
        <v>939</v>
      </c>
      <c r="M174" s="32">
        <v>151753.51</v>
      </c>
      <c r="N174" s="32">
        <v>5715057.08</v>
      </c>
      <c r="O174" s="33">
        <f t="shared" si="23"/>
        <v>5.44</v>
      </c>
      <c r="P174" s="34">
        <f t="shared" si="21"/>
        <v>49.9517807768269</v>
      </c>
      <c r="Q174" s="35">
        <f t="shared" si="22"/>
        <v>37.6601310902133</v>
      </c>
      <c r="R174" s="35">
        <f t="shared" si="24"/>
        <v>10.8449589080254</v>
      </c>
      <c r="S174" s="33">
        <f t="shared" si="25"/>
        <v>590.24</v>
      </c>
      <c r="T174" s="36">
        <f t="shared" ref="T174:T237" si="26">ROUND((N174-M174)/M174*100,2)</f>
        <v>3666.01</v>
      </c>
    </row>
    <row r="175" spans="1:20">
      <c r="A175" s="37">
        <v>45434</v>
      </c>
      <c r="B175" s="38" t="s">
        <v>144</v>
      </c>
      <c r="C175" s="38" t="s">
        <v>145</v>
      </c>
      <c r="D175" s="38" t="s">
        <v>146</v>
      </c>
      <c r="E175" s="38" t="s">
        <v>1571</v>
      </c>
      <c r="F175" s="38">
        <f t="shared" si="19"/>
        <v>2024</v>
      </c>
      <c r="G175" s="38" t="str">
        <f t="shared" si="20"/>
        <v>May</v>
      </c>
      <c r="H175" s="30">
        <v>209828</v>
      </c>
      <c r="I175" s="30">
        <v>14119</v>
      </c>
      <c r="J175" s="39">
        <v>2701</v>
      </c>
      <c r="K175" s="39">
        <v>1585</v>
      </c>
      <c r="L175" s="39">
        <v>667</v>
      </c>
      <c r="M175" s="40">
        <v>164161.53</v>
      </c>
      <c r="N175" s="40">
        <v>3749676.3</v>
      </c>
      <c r="O175" s="33">
        <f t="shared" si="23"/>
        <v>6.73</v>
      </c>
      <c r="P175" s="34">
        <f t="shared" si="21"/>
        <v>60.7780562754535</v>
      </c>
      <c r="Q175" s="35">
        <f t="shared" si="22"/>
        <v>22.8413825090446</v>
      </c>
      <c r="R175" s="35">
        <f t="shared" si="24"/>
        <v>11.6269941213967</v>
      </c>
      <c r="S175" s="33">
        <f t="shared" si="25"/>
        <v>782.36</v>
      </c>
      <c r="T175" s="36">
        <f t="shared" si="26"/>
        <v>2184.14</v>
      </c>
    </row>
    <row r="176" spans="1:20">
      <c r="A176" s="28">
        <v>45435</v>
      </c>
      <c r="B176" s="29" t="s">
        <v>144</v>
      </c>
      <c r="C176" s="29" t="s">
        <v>145</v>
      </c>
      <c r="D176" s="29" t="s">
        <v>146</v>
      </c>
      <c r="E176" s="29" t="s">
        <v>1571</v>
      </c>
      <c r="F176" s="29">
        <f t="shared" si="19"/>
        <v>2024</v>
      </c>
      <c r="G176" s="29" t="str">
        <f t="shared" si="20"/>
        <v>May</v>
      </c>
      <c r="H176" s="30">
        <v>218859</v>
      </c>
      <c r="I176" s="30">
        <v>11905</v>
      </c>
      <c r="J176" s="31">
        <v>1854</v>
      </c>
      <c r="K176" s="31">
        <v>941</v>
      </c>
      <c r="L176" s="31">
        <v>482</v>
      </c>
      <c r="M176" s="32">
        <v>120754.52</v>
      </c>
      <c r="N176" s="32">
        <v>1563740.44</v>
      </c>
      <c r="O176" s="33">
        <f t="shared" si="23"/>
        <v>5.44</v>
      </c>
      <c r="P176" s="34">
        <f t="shared" si="21"/>
        <v>65.1318878101402</v>
      </c>
      <c r="Q176" s="35">
        <f t="shared" si="22"/>
        <v>12.9497466430242</v>
      </c>
      <c r="R176" s="35">
        <f t="shared" si="24"/>
        <v>10.1431768164637</v>
      </c>
      <c r="S176" s="33">
        <f t="shared" si="25"/>
        <v>551.75</v>
      </c>
      <c r="T176" s="36">
        <f t="shared" si="26"/>
        <v>1194.97</v>
      </c>
    </row>
    <row r="177" spans="1:20">
      <c r="A177" s="37">
        <v>45436</v>
      </c>
      <c r="B177" s="38" t="s">
        <v>144</v>
      </c>
      <c r="C177" s="38" t="s">
        <v>145</v>
      </c>
      <c r="D177" s="38" t="s">
        <v>146</v>
      </c>
      <c r="E177" s="38" t="s">
        <v>1571</v>
      </c>
      <c r="F177" s="38">
        <f t="shared" si="19"/>
        <v>2024</v>
      </c>
      <c r="G177" s="38" t="str">
        <f t="shared" si="20"/>
        <v>May</v>
      </c>
      <c r="H177" s="30">
        <v>210510</v>
      </c>
      <c r="I177" s="30">
        <v>12742</v>
      </c>
      <c r="J177" s="39">
        <v>2399</v>
      </c>
      <c r="K177" s="39">
        <v>1408</v>
      </c>
      <c r="L177" s="39">
        <v>810</v>
      </c>
      <c r="M177" s="40">
        <v>182684.18</v>
      </c>
      <c r="N177" s="40">
        <v>6159533.63</v>
      </c>
      <c r="O177" s="33">
        <f t="shared" si="23"/>
        <v>6.05</v>
      </c>
      <c r="P177" s="34">
        <f t="shared" si="21"/>
        <v>76.1501375573155</v>
      </c>
      <c r="Q177" s="35">
        <f t="shared" si="22"/>
        <v>33.7168419837996</v>
      </c>
      <c r="R177" s="35">
        <f t="shared" si="24"/>
        <v>14.3371668497881</v>
      </c>
      <c r="S177" s="33">
        <f t="shared" si="25"/>
        <v>867.82</v>
      </c>
      <c r="T177" s="36">
        <f t="shared" si="26"/>
        <v>3271.68</v>
      </c>
    </row>
    <row r="178" spans="1:20">
      <c r="A178" s="28">
        <v>45437</v>
      </c>
      <c r="B178" s="29" t="s">
        <v>144</v>
      </c>
      <c r="C178" s="29" t="s">
        <v>145</v>
      </c>
      <c r="D178" s="29" t="s">
        <v>146</v>
      </c>
      <c r="E178" s="29" t="s">
        <v>1571</v>
      </c>
      <c r="F178" s="29">
        <f t="shared" si="19"/>
        <v>2024</v>
      </c>
      <c r="G178" s="29" t="str">
        <f t="shared" si="20"/>
        <v>May</v>
      </c>
      <c r="H178" s="30">
        <v>112134</v>
      </c>
      <c r="I178" s="30">
        <v>3488</v>
      </c>
      <c r="J178" s="31">
        <v>542</v>
      </c>
      <c r="K178" s="31">
        <v>286</v>
      </c>
      <c r="L178" s="31">
        <v>159</v>
      </c>
      <c r="M178" s="32">
        <v>76411.33</v>
      </c>
      <c r="N178" s="32">
        <v>520844.26</v>
      </c>
      <c r="O178" s="33">
        <f t="shared" si="23"/>
        <v>3.11</v>
      </c>
      <c r="P178" s="34">
        <f t="shared" si="21"/>
        <v>140.980313653137</v>
      </c>
      <c r="Q178" s="35">
        <f t="shared" si="22"/>
        <v>6.81632239616821</v>
      </c>
      <c r="R178" s="35">
        <f t="shared" si="24"/>
        <v>21.9069180045872</v>
      </c>
      <c r="S178" s="33">
        <f t="shared" si="25"/>
        <v>681.43</v>
      </c>
      <c r="T178" s="36">
        <f t="shared" si="26"/>
        <v>581.63</v>
      </c>
    </row>
    <row r="179" spans="1:20">
      <c r="A179" s="37">
        <v>45438</v>
      </c>
      <c r="B179" s="38" t="s">
        <v>144</v>
      </c>
      <c r="C179" s="38" t="s">
        <v>145</v>
      </c>
      <c r="D179" s="38" t="s">
        <v>146</v>
      </c>
      <c r="E179" s="38" t="s">
        <v>1571</v>
      </c>
      <c r="F179" s="38">
        <f t="shared" si="19"/>
        <v>2024</v>
      </c>
      <c r="G179" s="38" t="str">
        <f t="shared" si="20"/>
        <v>May</v>
      </c>
      <c r="H179" s="30">
        <v>167323</v>
      </c>
      <c r="I179" s="30">
        <v>6870</v>
      </c>
      <c r="J179" s="39">
        <v>1386</v>
      </c>
      <c r="K179" s="39">
        <v>656</v>
      </c>
      <c r="L179" s="39">
        <v>339</v>
      </c>
      <c r="M179" s="40">
        <v>154889.76</v>
      </c>
      <c r="N179" s="40">
        <v>2689431.95</v>
      </c>
      <c r="O179" s="33">
        <f t="shared" si="23"/>
        <v>4.11</v>
      </c>
      <c r="P179" s="34">
        <f t="shared" si="21"/>
        <v>111.753073593074</v>
      </c>
      <c r="Q179" s="35">
        <f t="shared" si="22"/>
        <v>17.3635232567989</v>
      </c>
      <c r="R179" s="35">
        <f t="shared" si="24"/>
        <v>22.5458165938865</v>
      </c>
      <c r="S179" s="33">
        <f t="shared" si="25"/>
        <v>925.69</v>
      </c>
      <c r="T179" s="36">
        <f t="shared" si="26"/>
        <v>1636.35</v>
      </c>
    </row>
    <row r="180" spans="1:20">
      <c r="A180" s="28">
        <v>45439</v>
      </c>
      <c r="B180" s="29" t="s">
        <v>144</v>
      </c>
      <c r="C180" s="29" t="s">
        <v>145</v>
      </c>
      <c r="D180" s="29" t="s">
        <v>146</v>
      </c>
      <c r="E180" s="29" t="s">
        <v>1571</v>
      </c>
      <c r="F180" s="29">
        <f t="shared" si="19"/>
        <v>2024</v>
      </c>
      <c r="G180" s="29" t="str">
        <f t="shared" si="20"/>
        <v>May</v>
      </c>
      <c r="H180" s="30">
        <v>71573</v>
      </c>
      <c r="I180" s="30">
        <v>3385</v>
      </c>
      <c r="J180" s="31">
        <v>572</v>
      </c>
      <c r="K180" s="31">
        <v>368</v>
      </c>
      <c r="L180" s="31">
        <v>169</v>
      </c>
      <c r="M180" s="32">
        <v>37172.3</v>
      </c>
      <c r="N180" s="32">
        <v>1300602.63</v>
      </c>
      <c r="O180" s="33">
        <f t="shared" si="23"/>
        <v>4.73</v>
      </c>
      <c r="P180" s="34">
        <f t="shared" si="21"/>
        <v>64.9865384615385</v>
      </c>
      <c r="Q180" s="35">
        <f t="shared" si="22"/>
        <v>34.9884895473242</v>
      </c>
      <c r="R180" s="35">
        <f t="shared" si="24"/>
        <v>10.9814771048744</v>
      </c>
      <c r="S180" s="33">
        <f t="shared" si="25"/>
        <v>519.36</v>
      </c>
      <c r="T180" s="36">
        <f t="shared" si="26"/>
        <v>3398.85</v>
      </c>
    </row>
    <row r="181" spans="1:20">
      <c r="A181" s="37">
        <v>45440</v>
      </c>
      <c r="B181" s="38" t="s">
        <v>144</v>
      </c>
      <c r="C181" s="38" t="s">
        <v>145</v>
      </c>
      <c r="D181" s="38" t="s">
        <v>146</v>
      </c>
      <c r="E181" s="38" t="s">
        <v>1571</v>
      </c>
      <c r="F181" s="38">
        <f t="shared" si="19"/>
        <v>2024</v>
      </c>
      <c r="G181" s="38" t="str">
        <f t="shared" si="20"/>
        <v>May</v>
      </c>
      <c r="H181" s="30">
        <v>157823</v>
      </c>
      <c r="I181" s="30">
        <v>9513</v>
      </c>
      <c r="J181" s="39">
        <v>2121</v>
      </c>
      <c r="K181" s="39">
        <v>1051</v>
      </c>
      <c r="L181" s="39">
        <v>506</v>
      </c>
      <c r="M181" s="40">
        <v>109850.41</v>
      </c>
      <c r="N181" s="40">
        <v>3668863.75</v>
      </c>
      <c r="O181" s="33">
        <f t="shared" si="23"/>
        <v>6.03</v>
      </c>
      <c r="P181" s="34">
        <f t="shared" si="21"/>
        <v>51.7918010372466</v>
      </c>
      <c r="Q181" s="35">
        <f t="shared" si="22"/>
        <v>33.3987260493611</v>
      </c>
      <c r="R181" s="35">
        <f t="shared" si="24"/>
        <v>11.5473993482603</v>
      </c>
      <c r="S181" s="33">
        <f t="shared" si="25"/>
        <v>696.04</v>
      </c>
      <c r="T181" s="36">
        <f t="shared" si="26"/>
        <v>3239.87</v>
      </c>
    </row>
    <row r="182" spans="1:20">
      <c r="A182" s="28">
        <v>45441</v>
      </c>
      <c r="B182" s="29" t="s">
        <v>144</v>
      </c>
      <c r="C182" s="29" t="s">
        <v>145</v>
      </c>
      <c r="D182" s="29" t="s">
        <v>146</v>
      </c>
      <c r="E182" s="29" t="s">
        <v>1571</v>
      </c>
      <c r="F182" s="29">
        <f t="shared" si="19"/>
        <v>2024</v>
      </c>
      <c r="G182" s="29" t="str">
        <f t="shared" si="20"/>
        <v>May</v>
      </c>
      <c r="H182" s="30">
        <v>170857</v>
      </c>
      <c r="I182" s="30">
        <v>13220</v>
      </c>
      <c r="J182" s="31">
        <v>2821</v>
      </c>
      <c r="K182" s="31">
        <v>1398</v>
      </c>
      <c r="L182" s="31">
        <v>619</v>
      </c>
      <c r="M182" s="32">
        <v>96132.33</v>
      </c>
      <c r="N182" s="32">
        <v>4551261.95</v>
      </c>
      <c r="O182" s="33">
        <f t="shared" si="23"/>
        <v>7.74</v>
      </c>
      <c r="P182" s="34">
        <f t="shared" si="21"/>
        <v>34.0773945409429</v>
      </c>
      <c r="Q182" s="35">
        <f t="shared" si="22"/>
        <v>47.3437182891541</v>
      </c>
      <c r="R182" s="35">
        <f t="shared" si="24"/>
        <v>7.27173449319213</v>
      </c>
      <c r="S182" s="33">
        <f t="shared" si="25"/>
        <v>562.65</v>
      </c>
      <c r="T182" s="36">
        <f t="shared" si="26"/>
        <v>4634.37</v>
      </c>
    </row>
    <row r="183" spans="1:20">
      <c r="A183" s="37">
        <v>45442</v>
      </c>
      <c r="B183" s="38" t="s">
        <v>144</v>
      </c>
      <c r="C183" s="38" t="s">
        <v>145</v>
      </c>
      <c r="D183" s="38" t="s">
        <v>146</v>
      </c>
      <c r="E183" s="38" t="s">
        <v>1571</v>
      </c>
      <c r="F183" s="38">
        <f t="shared" si="19"/>
        <v>2024</v>
      </c>
      <c r="G183" s="38" t="str">
        <f t="shared" si="20"/>
        <v>May</v>
      </c>
      <c r="H183" s="30">
        <v>286098</v>
      </c>
      <c r="I183" s="30">
        <v>8605</v>
      </c>
      <c r="J183" s="39">
        <v>1496</v>
      </c>
      <c r="K183" s="39">
        <v>757</v>
      </c>
      <c r="L183" s="39">
        <v>307</v>
      </c>
      <c r="M183" s="40">
        <v>284695.91</v>
      </c>
      <c r="N183" s="40">
        <v>2297719.94</v>
      </c>
      <c r="O183" s="33">
        <f t="shared" si="23"/>
        <v>3.01</v>
      </c>
      <c r="P183" s="34">
        <f t="shared" si="21"/>
        <v>190.304752673797</v>
      </c>
      <c r="Q183" s="35">
        <f t="shared" si="22"/>
        <v>8.07078661579648</v>
      </c>
      <c r="R183" s="35">
        <f t="shared" si="24"/>
        <v>33.084940151075</v>
      </c>
      <c r="S183" s="33">
        <f t="shared" si="25"/>
        <v>995.1</v>
      </c>
      <c r="T183" s="36">
        <f t="shared" si="26"/>
        <v>707.08</v>
      </c>
    </row>
    <row r="184" spans="1:20">
      <c r="A184" s="28">
        <v>45443</v>
      </c>
      <c r="B184" s="29" t="s">
        <v>144</v>
      </c>
      <c r="C184" s="29" t="s">
        <v>145</v>
      </c>
      <c r="D184" s="29" t="s">
        <v>146</v>
      </c>
      <c r="E184" s="29" t="s">
        <v>1571</v>
      </c>
      <c r="F184" s="29">
        <f t="shared" si="19"/>
        <v>2024</v>
      </c>
      <c r="G184" s="29" t="str">
        <f t="shared" si="20"/>
        <v>May</v>
      </c>
      <c r="H184" s="30">
        <v>179655</v>
      </c>
      <c r="I184" s="30">
        <v>7512</v>
      </c>
      <c r="J184" s="31">
        <v>1329</v>
      </c>
      <c r="K184" s="31">
        <v>827</v>
      </c>
      <c r="L184" s="31">
        <v>420</v>
      </c>
      <c r="M184" s="32">
        <v>177940.53</v>
      </c>
      <c r="N184" s="32">
        <v>2774452.44</v>
      </c>
      <c r="O184" s="33">
        <f t="shared" si="23"/>
        <v>4.18</v>
      </c>
      <c r="P184" s="34">
        <f t="shared" si="21"/>
        <v>133.890541760722</v>
      </c>
      <c r="Q184" s="35">
        <f t="shared" si="22"/>
        <v>15.5920207723333</v>
      </c>
      <c r="R184" s="35">
        <f t="shared" si="24"/>
        <v>23.6875039936102</v>
      </c>
      <c r="S184" s="33">
        <f t="shared" si="25"/>
        <v>990.46</v>
      </c>
      <c r="T184" s="36">
        <f t="shared" si="26"/>
        <v>1459.2</v>
      </c>
    </row>
    <row r="185" spans="1:20">
      <c r="A185" s="37">
        <v>45297</v>
      </c>
      <c r="B185" s="38" t="s">
        <v>144</v>
      </c>
      <c r="C185" s="38" t="s">
        <v>145</v>
      </c>
      <c r="D185" s="38" t="s">
        <v>146</v>
      </c>
      <c r="E185" s="38" t="s">
        <v>1571</v>
      </c>
      <c r="F185" s="38">
        <f t="shared" si="19"/>
        <v>2024</v>
      </c>
      <c r="G185" s="38" t="str">
        <f t="shared" si="20"/>
        <v>January</v>
      </c>
      <c r="H185" s="30">
        <v>200920</v>
      </c>
      <c r="I185" s="30">
        <v>10462</v>
      </c>
      <c r="J185" s="39">
        <v>2244</v>
      </c>
      <c r="K185" s="39">
        <v>1338</v>
      </c>
      <c r="L185" s="39">
        <v>750</v>
      </c>
      <c r="M185" s="40">
        <v>142412.11</v>
      </c>
      <c r="N185" s="40">
        <v>4242470.36</v>
      </c>
      <c r="O185" s="33">
        <f t="shared" si="23"/>
        <v>5.21</v>
      </c>
      <c r="P185" s="34">
        <f t="shared" si="21"/>
        <v>63.4635071301248</v>
      </c>
      <c r="Q185" s="35">
        <f t="shared" si="22"/>
        <v>29.7900955192645</v>
      </c>
      <c r="R185" s="35">
        <f t="shared" si="24"/>
        <v>13.6123217358058</v>
      </c>
      <c r="S185" s="33">
        <f t="shared" si="25"/>
        <v>708.8</v>
      </c>
      <c r="T185" s="36">
        <f t="shared" si="26"/>
        <v>2879.01</v>
      </c>
    </row>
    <row r="186" spans="1:20">
      <c r="A186" s="28">
        <v>45328</v>
      </c>
      <c r="B186" s="29" t="s">
        <v>144</v>
      </c>
      <c r="C186" s="29" t="s">
        <v>145</v>
      </c>
      <c r="D186" s="29" t="s">
        <v>146</v>
      </c>
      <c r="E186" s="29" t="s">
        <v>1571</v>
      </c>
      <c r="F186" s="29">
        <f t="shared" si="19"/>
        <v>2024</v>
      </c>
      <c r="G186" s="29" t="str">
        <f t="shared" si="20"/>
        <v>February</v>
      </c>
      <c r="H186" s="30">
        <v>277733</v>
      </c>
      <c r="I186" s="30">
        <v>19722</v>
      </c>
      <c r="J186" s="31">
        <v>3356</v>
      </c>
      <c r="K186" s="31">
        <v>1999</v>
      </c>
      <c r="L186" s="31">
        <v>1087</v>
      </c>
      <c r="M186" s="32">
        <v>267369.15</v>
      </c>
      <c r="N186" s="32">
        <v>6633449.5</v>
      </c>
      <c r="O186" s="33">
        <f t="shared" si="23"/>
        <v>7.1</v>
      </c>
      <c r="P186" s="34">
        <f t="shared" si="21"/>
        <v>79.6689958283671</v>
      </c>
      <c r="Q186" s="35">
        <f t="shared" si="22"/>
        <v>24.8100781260665</v>
      </c>
      <c r="R186" s="35">
        <f t="shared" si="24"/>
        <v>13.5568983875875</v>
      </c>
      <c r="S186" s="33">
        <f t="shared" si="25"/>
        <v>962.68</v>
      </c>
      <c r="T186" s="36">
        <f t="shared" si="26"/>
        <v>2381.01</v>
      </c>
    </row>
    <row r="187" spans="1:20">
      <c r="A187" s="37">
        <v>45357</v>
      </c>
      <c r="B187" s="38" t="s">
        <v>144</v>
      </c>
      <c r="C187" s="38" t="s">
        <v>145</v>
      </c>
      <c r="D187" s="38" t="s">
        <v>146</v>
      </c>
      <c r="E187" s="38" t="s">
        <v>1571</v>
      </c>
      <c r="F187" s="38">
        <f t="shared" si="19"/>
        <v>2024</v>
      </c>
      <c r="G187" s="38" t="str">
        <f t="shared" si="20"/>
        <v>March</v>
      </c>
      <c r="H187" s="30">
        <v>163525</v>
      </c>
      <c r="I187" s="30">
        <v>6314</v>
      </c>
      <c r="J187" s="39">
        <v>1573</v>
      </c>
      <c r="K187" s="39">
        <v>794</v>
      </c>
      <c r="L187" s="39">
        <v>445</v>
      </c>
      <c r="M187" s="40">
        <v>161244.1</v>
      </c>
      <c r="N187" s="40">
        <v>2892185.32</v>
      </c>
      <c r="O187" s="33">
        <f t="shared" si="23"/>
        <v>3.86</v>
      </c>
      <c r="P187" s="34">
        <f t="shared" si="21"/>
        <v>102.507374443738</v>
      </c>
      <c r="Q187" s="35">
        <f t="shared" si="22"/>
        <v>17.936689280414</v>
      </c>
      <c r="R187" s="35">
        <f t="shared" si="24"/>
        <v>25.5375514729173</v>
      </c>
      <c r="S187" s="33">
        <f t="shared" si="25"/>
        <v>986.05</v>
      </c>
      <c r="T187" s="36">
        <f t="shared" si="26"/>
        <v>1693.67</v>
      </c>
    </row>
    <row r="188" spans="1:20">
      <c r="A188" s="28">
        <v>45388</v>
      </c>
      <c r="B188" s="29" t="s">
        <v>144</v>
      </c>
      <c r="C188" s="29" t="s">
        <v>145</v>
      </c>
      <c r="D188" s="29" t="s">
        <v>146</v>
      </c>
      <c r="E188" s="29" t="s">
        <v>1571</v>
      </c>
      <c r="F188" s="29">
        <f t="shared" si="19"/>
        <v>2024</v>
      </c>
      <c r="G188" s="29" t="str">
        <f t="shared" si="20"/>
        <v>April</v>
      </c>
      <c r="H188" s="30">
        <v>57200</v>
      </c>
      <c r="I188" s="30">
        <v>2876</v>
      </c>
      <c r="J188" s="31">
        <v>542</v>
      </c>
      <c r="K188" s="31">
        <v>295</v>
      </c>
      <c r="L188" s="31">
        <v>144</v>
      </c>
      <c r="M188" s="32">
        <v>40656.16</v>
      </c>
      <c r="N188" s="32">
        <v>1131479.57</v>
      </c>
      <c r="O188" s="33">
        <f t="shared" si="23"/>
        <v>5.03</v>
      </c>
      <c r="P188" s="34">
        <f t="shared" si="21"/>
        <v>75.0113653136531</v>
      </c>
      <c r="Q188" s="35">
        <f t="shared" si="22"/>
        <v>27.8304584102384</v>
      </c>
      <c r="R188" s="35">
        <f t="shared" si="24"/>
        <v>14.1363560500695</v>
      </c>
      <c r="S188" s="33">
        <f t="shared" si="25"/>
        <v>710.77</v>
      </c>
      <c r="T188" s="36">
        <f t="shared" si="26"/>
        <v>2683.05</v>
      </c>
    </row>
    <row r="189" spans="1:20">
      <c r="A189" s="37">
        <v>45418</v>
      </c>
      <c r="B189" s="38" t="s">
        <v>144</v>
      </c>
      <c r="C189" s="38" t="s">
        <v>145</v>
      </c>
      <c r="D189" s="38" t="s">
        <v>146</v>
      </c>
      <c r="E189" s="38" t="s">
        <v>1571</v>
      </c>
      <c r="F189" s="38">
        <f t="shared" si="19"/>
        <v>2024</v>
      </c>
      <c r="G189" s="38" t="str">
        <f t="shared" si="20"/>
        <v>May</v>
      </c>
      <c r="H189" s="30">
        <v>138496</v>
      </c>
      <c r="I189" s="30">
        <v>6165</v>
      </c>
      <c r="J189" s="39">
        <v>1152</v>
      </c>
      <c r="K189" s="39">
        <v>534</v>
      </c>
      <c r="L189" s="39">
        <v>238</v>
      </c>
      <c r="M189" s="40">
        <v>78355.93</v>
      </c>
      <c r="N189" s="40">
        <v>1666242.27</v>
      </c>
      <c r="O189" s="33">
        <f t="shared" si="23"/>
        <v>4.45</v>
      </c>
      <c r="P189" s="34">
        <f t="shared" si="21"/>
        <v>68.0173003472222</v>
      </c>
      <c r="Q189" s="35">
        <f t="shared" si="22"/>
        <v>21.2650436284784</v>
      </c>
      <c r="R189" s="35">
        <f t="shared" si="24"/>
        <v>12.709802108678</v>
      </c>
      <c r="S189" s="33">
        <f t="shared" si="25"/>
        <v>565.76</v>
      </c>
      <c r="T189" s="36">
        <f t="shared" si="26"/>
        <v>2026.5</v>
      </c>
    </row>
    <row r="190" spans="1:20">
      <c r="A190" s="28">
        <v>45449</v>
      </c>
      <c r="B190" s="29" t="s">
        <v>144</v>
      </c>
      <c r="C190" s="29" t="s">
        <v>145</v>
      </c>
      <c r="D190" s="29" t="s">
        <v>146</v>
      </c>
      <c r="E190" s="29" t="s">
        <v>1571</v>
      </c>
      <c r="F190" s="29">
        <f t="shared" si="19"/>
        <v>2024</v>
      </c>
      <c r="G190" s="29" t="str">
        <f t="shared" si="20"/>
        <v>June</v>
      </c>
      <c r="H190" s="30">
        <v>173098</v>
      </c>
      <c r="I190" s="30">
        <v>12987</v>
      </c>
      <c r="J190" s="31">
        <v>2605</v>
      </c>
      <c r="K190" s="31">
        <v>1205</v>
      </c>
      <c r="L190" s="31">
        <v>678</v>
      </c>
      <c r="M190" s="32">
        <v>171934.55</v>
      </c>
      <c r="N190" s="32">
        <v>4701884.7</v>
      </c>
      <c r="O190" s="33">
        <f t="shared" si="23"/>
        <v>7.5</v>
      </c>
      <c r="P190" s="34">
        <f t="shared" si="21"/>
        <v>66.0017466410748</v>
      </c>
      <c r="Q190" s="35">
        <f t="shared" si="22"/>
        <v>27.3469451020752</v>
      </c>
      <c r="R190" s="35">
        <f t="shared" si="24"/>
        <v>13.2389735889736</v>
      </c>
      <c r="S190" s="33">
        <f t="shared" si="25"/>
        <v>993.28</v>
      </c>
      <c r="T190" s="36">
        <f t="shared" si="26"/>
        <v>2634.69</v>
      </c>
    </row>
    <row r="191" spans="1:20">
      <c r="A191" s="37">
        <v>45479</v>
      </c>
      <c r="B191" s="38" t="s">
        <v>144</v>
      </c>
      <c r="C191" s="38" t="s">
        <v>145</v>
      </c>
      <c r="D191" s="38" t="s">
        <v>146</v>
      </c>
      <c r="E191" s="38" t="s">
        <v>1571</v>
      </c>
      <c r="F191" s="38">
        <f t="shared" si="19"/>
        <v>2024</v>
      </c>
      <c r="G191" s="38" t="str">
        <f t="shared" si="20"/>
        <v>July</v>
      </c>
      <c r="H191" s="30">
        <v>132867</v>
      </c>
      <c r="I191" s="30">
        <v>6166</v>
      </c>
      <c r="J191" s="39">
        <v>1353</v>
      </c>
      <c r="K191" s="39">
        <v>871</v>
      </c>
      <c r="L191" s="39">
        <v>423</v>
      </c>
      <c r="M191" s="40">
        <v>110775.88</v>
      </c>
      <c r="N191" s="40">
        <v>1886619.18</v>
      </c>
      <c r="O191" s="33">
        <f t="shared" si="23"/>
        <v>4.64</v>
      </c>
      <c r="P191" s="34">
        <f t="shared" si="21"/>
        <v>81.8742645971914</v>
      </c>
      <c r="Q191" s="35">
        <f t="shared" si="22"/>
        <v>17.0309563778685</v>
      </c>
      <c r="R191" s="35">
        <f t="shared" si="24"/>
        <v>17.9655984430749</v>
      </c>
      <c r="S191" s="33">
        <f t="shared" si="25"/>
        <v>833.74</v>
      </c>
      <c r="T191" s="36">
        <f t="shared" si="26"/>
        <v>1603.1</v>
      </c>
    </row>
    <row r="192" spans="1:20">
      <c r="A192" s="28">
        <v>45510</v>
      </c>
      <c r="B192" s="29" t="s">
        <v>144</v>
      </c>
      <c r="C192" s="29" t="s">
        <v>145</v>
      </c>
      <c r="D192" s="29" t="s">
        <v>146</v>
      </c>
      <c r="E192" s="29" t="s">
        <v>1571</v>
      </c>
      <c r="F192" s="29">
        <f t="shared" si="19"/>
        <v>2024</v>
      </c>
      <c r="G192" s="29" t="str">
        <f t="shared" si="20"/>
        <v>August</v>
      </c>
      <c r="H192" s="30">
        <v>78405</v>
      </c>
      <c r="I192" s="30">
        <v>5902</v>
      </c>
      <c r="J192" s="31">
        <v>1106</v>
      </c>
      <c r="K192" s="31">
        <v>584</v>
      </c>
      <c r="L192" s="31">
        <v>309</v>
      </c>
      <c r="M192" s="32">
        <v>59265.23</v>
      </c>
      <c r="N192" s="32">
        <v>1624992.95</v>
      </c>
      <c r="O192" s="33">
        <f t="shared" si="23"/>
        <v>7.53</v>
      </c>
      <c r="P192" s="34">
        <f t="shared" si="21"/>
        <v>53.585198915009</v>
      </c>
      <c r="Q192" s="35">
        <f t="shared" si="22"/>
        <v>27.4189933962966</v>
      </c>
      <c r="R192" s="35">
        <f t="shared" si="24"/>
        <v>10.0415503219248</v>
      </c>
      <c r="S192" s="33">
        <f t="shared" si="25"/>
        <v>755.89</v>
      </c>
      <c r="T192" s="36">
        <f t="shared" si="26"/>
        <v>2641.9</v>
      </c>
    </row>
    <row r="193" spans="1:20">
      <c r="A193" s="37">
        <v>45541</v>
      </c>
      <c r="B193" s="38" t="s">
        <v>144</v>
      </c>
      <c r="C193" s="38" t="s">
        <v>145</v>
      </c>
      <c r="D193" s="38" t="s">
        <v>146</v>
      </c>
      <c r="E193" s="38" t="s">
        <v>1571</v>
      </c>
      <c r="F193" s="38">
        <f t="shared" si="19"/>
        <v>2024</v>
      </c>
      <c r="G193" s="38" t="str">
        <f t="shared" si="20"/>
        <v>September</v>
      </c>
      <c r="H193" s="30">
        <v>123612</v>
      </c>
      <c r="I193" s="30">
        <v>8089</v>
      </c>
      <c r="J193" s="39">
        <v>1527</v>
      </c>
      <c r="K193" s="39">
        <v>775</v>
      </c>
      <c r="L193" s="39">
        <v>424</v>
      </c>
      <c r="M193" s="40">
        <v>113946.27</v>
      </c>
      <c r="N193" s="40">
        <v>3146851.09</v>
      </c>
      <c r="O193" s="33">
        <f t="shared" si="23"/>
        <v>6.54</v>
      </c>
      <c r="P193" s="34">
        <f t="shared" si="21"/>
        <v>74.6210019646365</v>
      </c>
      <c r="Q193" s="35">
        <f t="shared" si="22"/>
        <v>27.6169732453726</v>
      </c>
      <c r="R193" s="35">
        <f t="shared" si="24"/>
        <v>14.086570651502</v>
      </c>
      <c r="S193" s="33">
        <f t="shared" si="25"/>
        <v>921.81</v>
      </c>
      <c r="T193" s="36">
        <f t="shared" si="26"/>
        <v>2661.7</v>
      </c>
    </row>
    <row r="194" spans="1:20">
      <c r="A194" s="28">
        <v>45571</v>
      </c>
      <c r="B194" s="29" t="s">
        <v>144</v>
      </c>
      <c r="C194" s="29" t="s">
        <v>145</v>
      </c>
      <c r="D194" s="29" t="s">
        <v>146</v>
      </c>
      <c r="E194" s="29" t="s">
        <v>1571</v>
      </c>
      <c r="F194" s="29">
        <f t="shared" ref="F194:F257" si="27">YEAR(A194)</f>
        <v>2024</v>
      </c>
      <c r="G194" s="29" t="str">
        <f t="shared" ref="G194:G257" si="28">TEXT(A194,"mmmm")</f>
        <v>October</v>
      </c>
      <c r="H194" s="30">
        <v>195933</v>
      </c>
      <c r="I194" s="30">
        <v>8997</v>
      </c>
      <c r="J194" s="31">
        <v>1665</v>
      </c>
      <c r="K194" s="31">
        <v>915</v>
      </c>
      <c r="L194" s="31">
        <v>447</v>
      </c>
      <c r="M194" s="32">
        <v>189378.11</v>
      </c>
      <c r="N194" s="32">
        <v>2736847.83</v>
      </c>
      <c r="O194" s="33">
        <f t="shared" si="23"/>
        <v>4.59</v>
      </c>
      <c r="P194" s="34">
        <f t="shared" ref="P194:P257" si="29">M194/J194</f>
        <v>113.740606606607</v>
      </c>
      <c r="Q194" s="35">
        <f t="shared" ref="Q194:Q257" si="30">N194/M194</f>
        <v>14.4517644093079</v>
      </c>
      <c r="R194" s="35">
        <f t="shared" si="24"/>
        <v>21.0490285650772</v>
      </c>
      <c r="S194" s="33">
        <f t="shared" si="25"/>
        <v>966.55</v>
      </c>
      <c r="T194" s="36">
        <f t="shared" si="26"/>
        <v>1345.18</v>
      </c>
    </row>
    <row r="195" spans="1:20">
      <c r="A195" s="37">
        <v>45602</v>
      </c>
      <c r="B195" s="38" t="s">
        <v>144</v>
      </c>
      <c r="C195" s="38" t="s">
        <v>145</v>
      </c>
      <c r="D195" s="38" t="s">
        <v>146</v>
      </c>
      <c r="E195" s="38" t="s">
        <v>1571</v>
      </c>
      <c r="F195" s="38">
        <f t="shared" si="27"/>
        <v>2024</v>
      </c>
      <c r="G195" s="38" t="str">
        <f t="shared" si="28"/>
        <v>November</v>
      </c>
      <c r="H195" s="30">
        <v>107645</v>
      </c>
      <c r="I195" s="30">
        <v>6490</v>
      </c>
      <c r="J195" s="39">
        <v>1396</v>
      </c>
      <c r="K195" s="39">
        <v>669</v>
      </c>
      <c r="L195" s="39">
        <v>394</v>
      </c>
      <c r="M195" s="40">
        <v>64452.16</v>
      </c>
      <c r="N195" s="40">
        <v>2150210.51</v>
      </c>
      <c r="O195" s="33">
        <f t="shared" ref="O195:O258" si="31">ROUND(I195/H195*100,2)</f>
        <v>6.03</v>
      </c>
      <c r="P195" s="34">
        <f t="shared" si="29"/>
        <v>46.1691690544413</v>
      </c>
      <c r="Q195" s="35">
        <f t="shared" si="30"/>
        <v>33.3613413421676</v>
      </c>
      <c r="R195" s="35">
        <f t="shared" si="24"/>
        <v>9.93099537750385</v>
      </c>
      <c r="S195" s="33">
        <f t="shared" si="25"/>
        <v>598.75</v>
      </c>
      <c r="T195" s="36">
        <f t="shared" si="26"/>
        <v>3236.13</v>
      </c>
    </row>
    <row r="196" spans="1:20">
      <c r="A196" s="28">
        <v>45632</v>
      </c>
      <c r="B196" s="29" t="s">
        <v>144</v>
      </c>
      <c r="C196" s="29" t="s">
        <v>145</v>
      </c>
      <c r="D196" s="29" t="s">
        <v>146</v>
      </c>
      <c r="E196" s="29" t="s">
        <v>1571</v>
      </c>
      <c r="F196" s="29">
        <f t="shared" si="27"/>
        <v>2024</v>
      </c>
      <c r="G196" s="29" t="str">
        <f t="shared" si="28"/>
        <v>December</v>
      </c>
      <c r="H196" s="30">
        <v>126990</v>
      </c>
      <c r="I196" s="30">
        <v>3967</v>
      </c>
      <c r="J196" s="31">
        <v>640</v>
      </c>
      <c r="K196" s="31">
        <v>342</v>
      </c>
      <c r="L196" s="31">
        <v>195</v>
      </c>
      <c r="M196" s="32">
        <v>78557.41</v>
      </c>
      <c r="N196" s="32">
        <v>817559.85</v>
      </c>
      <c r="O196" s="33">
        <f t="shared" si="31"/>
        <v>3.12</v>
      </c>
      <c r="P196" s="34">
        <f t="shared" si="29"/>
        <v>122.745953125</v>
      </c>
      <c r="Q196" s="35">
        <f t="shared" si="30"/>
        <v>10.4071640090986</v>
      </c>
      <c r="R196" s="35">
        <f t="shared" si="24"/>
        <v>19.802724981094</v>
      </c>
      <c r="S196" s="33">
        <f t="shared" si="25"/>
        <v>618.61</v>
      </c>
      <c r="T196" s="36">
        <f t="shared" si="26"/>
        <v>940.72</v>
      </c>
    </row>
    <row r="197" spans="1:20">
      <c r="A197" s="37">
        <v>45456</v>
      </c>
      <c r="B197" s="38" t="s">
        <v>144</v>
      </c>
      <c r="C197" s="38" t="s">
        <v>145</v>
      </c>
      <c r="D197" s="38" t="s">
        <v>146</v>
      </c>
      <c r="E197" s="38" t="s">
        <v>1571</v>
      </c>
      <c r="F197" s="38">
        <f t="shared" si="27"/>
        <v>2024</v>
      </c>
      <c r="G197" s="38" t="str">
        <f t="shared" si="28"/>
        <v>June</v>
      </c>
      <c r="H197" s="30">
        <v>173173</v>
      </c>
      <c r="I197" s="30">
        <v>6384</v>
      </c>
      <c r="J197" s="39">
        <v>1547</v>
      </c>
      <c r="K197" s="39">
        <v>788</v>
      </c>
      <c r="L197" s="39">
        <v>399</v>
      </c>
      <c r="M197" s="40">
        <v>127532.25</v>
      </c>
      <c r="N197" s="40">
        <v>2683477.69</v>
      </c>
      <c r="O197" s="33">
        <f t="shared" si="31"/>
        <v>3.69</v>
      </c>
      <c r="P197" s="34">
        <f t="shared" si="29"/>
        <v>82.438429217841</v>
      </c>
      <c r="Q197" s="35">
        <f t="shared" si="30"/>
        <v>21.0415615658</v>
      </c>
      <c r="R197" s="35">
        <f t="shared" si="24"/>
        <v>19.9768562030075</v>
      </c>
      <c r="S197" s="33">
        <f t="shared" si="25"/>
        <v>736.44</v>
      </c>
      <c r="T197" s="36">
        <f t="shared" si="26"/>
        <v>2004.16</v>
      </c>
    </row>
    <row r="198" spans="1:20">
      <c r="A198" s="28">
        <v>45457</v>
      </c>
      <c r="B198" s="29" t="s">
        <v>144</v>
      </c>
      <c r="C198" s="29" t="s">
        <v>145</v>
      </c>
      <c r="D198" s="29" t="s">
        <v>146</v>
      </c>
      <c r="E198" s="29" t="s">
        <v>1571</v>
      </c>
      <c r="F198" s="29">
        <f t="shared" si="27"/>
        <v>2024</v>
      </c>
      <c r="G198" s="29" t="str">
        <f t="shared" si="28"/>
        <v>June</v>
      </c>
      <c r="H198" s="30">
        <v>267033</v>
      </c>
      <c r="I198" s="30">
        <v>20262</v>
      </c>
      <c r="J198" s="31">
        <v>3713</v>
      </c>
      <c r="K198" s="31">
        <v>2404</v>
      </c>
      <c r="L198" s="31">
        <v>1299</v>
      </c>
      <c r="M198" s="32">
        <v>216742.23</v>
      </c>
      <c r="N198" s="32">
        <v>7943328.02</v>
      </c>
      <c r="O198" s="33">
        <f t="shared" si="31"/>
        <v>7.59</v>
      </c>
      <c r="P198" s="34">
        <f t="shared" si="29"/>
        <v>58.3738836520334</v>
      </c>
      <c r="Q198" s="35">
        <f t="shared" si="30"/>
        <v>36.6487325520274</v>
      </c>
      <c r="R198" s="35">
        <f t="shared" si="24"/>
        <v>10.6969810482677</v>
      </c>
      <c r="S198" s="33">
        <f t="shared" si="25"/>
        <v>811.67</v>
      </c>
      <c r="T198" s="36">
        <f t="shared" si="26"/>
        <v>3564.87</v>
      </c>
    </row>
    <row r="199" spans="1:20">
      <c r="A199" s="37">
        <v>45458</v>
      </c>
      <c r="B199" s="38" t="s">
        <v>144</v>
      </c>
      <c r="C199" s="38" t="s">
        <v>145</v>
      </c>
      <c r="D199" s="38" t="s">
        <v>146</v>
      </c>
      <c r="E199" s="38" t="s">
        <v>1571</v>
      </c>
      <c r="F199" s="38">
        <f t="shared" si="27"/>
        <v>2024</v>
      </c>
      <c r="G199" s="38" t="str">
        <f t="shared" si="28"/>
        <v>June</v>
      </c>
      <c r="H199" s="30">
        <v>132726</v>
      </c>
      <c r="I199" s="30">
        <v>7918</v>
      </c>
      <c r="J199" s="39">
        <v>1387</v>
      </c>
      <c r="K199" s="39">
        <v>700</v>
      </c>
      <c r="L199" s="39">
        <v>353</v>
      </c>
      <c r="M199" s="40">
        <v>57062.19</v>
      </c>
      <c r="N199" s="40">
        <v>1916053.2</v>
      </c>
      <c r="O199" s="33">
        <f t="shared" si="31"/>
        <v>5.97</v>
      </c>
      <c r="P199" s="34">
        <f t="shared" si="29"/>
        <v>41.1407281903389</v>
      </c>
      <c r="Q199" s="35">
        <f t="shared" si="30"/>
        <v>33.5783326928041</v>
      </c>
      <c r="R199" s="35">
        <f t="shared" si="24"/>
        <v>7.20664182874463</v>
      </c>
      <c r="S199" s="33">
        <f t="shared" si="25"/>
        <v>429.92</v>
      </c>
      <c r="T199" s="36">
        <f t="shared" si="26"/>
        <v>3257.83</v>
      </c>
    </row>
    <row r="200" spans="1:20">
      <c r="A200" s="28">
        <v>45459</v>
      </c>
      <c r="B200" s="29" t="s">
        <v>144</v>
      </c>
      <c r="C200" s="29" t="s">
        <v>145</v>
      </c>
      <c r="D200" s="29" t="s">
        <v>146</v>
      </c>
      <c r="E200" s="29" t="s">
        <v>1571</v>
      </c>
      <c r="F200" s="29">
        <f t="shared" si="27"/>
        <v>2024</v>
      </c>
      <c r="G200" s="29" t="str">
        <f t="shared" si="28"/>
        <v>June</v>
      </c>
      <c r="H200" s="30">
        <v>251270</v>
      </c>
      <c r="I200" s="30">
        <v>9386</v>
      </c>
      <c r="J200" s="31">
        <v>1500</v>
      </c>
      <c r="K200" s="31">
        <v>689</v>
      </c>
      <c r="L200" s="31">
        <v>349</v>
      </c>
      <c r="M200" s="32">
        <v>244867.93</v>
      </c>
      <c r="N200" s="32">
        <v>2427243.89</v>
      </c>
      <c r="O200" s="33">
        <f t="shared" si="31"/>
        <v>3.74</v>
      </c>
      <c r="P200" s="34">
        <f t="shared" si="29"/>
        <v>163.245286666667</v>
      </c>
      <c r="Q200" s="35">
        <f t="shared" si="30"/>
        <v>9.91246134191603</v>
      </c>
      <c r="R200" s="35">
        <f t="shared" si="24"/>
        <v>26.0886352013637</v>
      </c>
      <c r="S200" s="33">
        <f t="shared" si="25"/>
        <v>974.52</v>
      </c>
      <c r="T200" s="36">
        <f t="shared" si="26"/>
        <v>891.25</v>
      </c>
    </row>
    <row r="201" spans="1:20">
      <c r="A201" s="37">
        <v>45460</v>
      </c>
      <c r="B201" s="38" t="s">
        <v>144</v>
      </c>
      <c r="C201" s="38" t="s">
        <v>145</v>
      </c>
      <c r="D201" s="38" t="s">
        <v>146</v>
      </c>
      <c r="E201" s="38" t="s">
        <v>1571</v>
      </c>
      <c r="F201" s="38">
        <f t="shared" si="27"/>
        <v>2024</v>
      </c>
      <c r="G201" s="38" t="str">
        <f t="shared" si="28"/>
        <v>June</v>
      </c>
      <c r="H201" s="30">
        <v>207125</v>
      </c>
      <c r="I201" s="30">
        <v>16396</v>
      </c>
      <c r="J201" s="39">
        <v>3081</v>
      </c>
      <c r="K201" s="39">
        <v>1427</v>
      </c>
      <c r="L201" s="39">
        <v>767</v>
      </c>
      <c r="M201" s="40">
        <v>130264.98</v>
      </c>
      <c r="N201" s="40">
        <v>5214044.04</v>
      </c>
      <c r="O201" s="33">
        <f t="shared" si="31"/>
        <v>7.92</v>
      </c>
      <c r="P201" s="34">
        <f t="shared" si="29"/>
        <v>42.2800973709834</v>
      </c>
      <c r="Q201" s="35">
        <f t="shared" si="30"/>
        <v>40.0264448664561</v>
      </c>
      <c r="R201" s="35">
        <f t="shared" si="24"/>
        <v>7.944924371798</v>
      </c>
      <c r="S201" s="33">
        <f t="shared" si="25"/>
        <v>628.92</v>
      </c>
      <c r="T201" s="36">
        <f t="shared" si="26"/>
        <v>3902.64</v>
      </c>
    </row>
    <row r="202" spans="1:20">
      <c r="A202" s="28">
        <v>45461</v>
      </c>
      <c r="B202" s="29" t="s">
        <v>144</v>
      </c>
      <c r="C202" s="29" t="s">
        <v>145</v>
      </c>
      <c r="D202" s="29" t="s">
        <v>146</v>
      </c>
      <c r="E202" s="29" t="s">
        <v>1571</v>
      </c>
      <c r="F202" s="29">
        <f t="shared" si="27"/>
        <v>2024</v>
      </c>
      <c r="G202" s="29" t="str">
        <f t="shared" si="28"/>
        <v>June</v>
      </c>
      <c r="H202" s="30">
        <v>224667</v>
      </c>
      <c r="I202" s="30">
        <v>15878</v>
      </c>
      <c r="J202" s="31">
        <v>3948</v>
      </c>
      <c r="K202" s="31">
        <v>2098</v>
      </c>
      <c r="L202" s="31">
        <v>1224</v>
      </c>
      <c r="M202" s="32">
        <v>195773.85</v>
      </c>
      <c r="N202" s="32">
        <v>4343632.79</v>
      </c>
      <c r="O202" s="33">
        <f t="shared" si="31"/>
        <v>7.07</v>
      </c>
      <c r="P202" s="34">
        <f t="shared" si="29"/>
        <v>49.5881079027356</v>
      </c>
      <c r="Q202" s="35">
        <f t="shared" si="30"/>
        <v>22.1869917254015</v>
      </c>
      <c r="R202" s="35">
        <f t="shared" si="24"/>
        <v>12.3298809673762</v>
      </c>
      <c r="S202" s="33">
        <f t="shared" si="25"/>
        <v>871.4</v>
      </c>
      <c r="T202" s="36">
        <f t="shared" si="26"/>
        <v>2118.7</v>
      </c>
    </row>
    <row r="203" spans="1:20">
      <c r="A203" s="37">
        <v>45462</v>
      </c>
      <c r="B203" s="38" t="s">
        <v>144</v>
      </c>
      <c r="C203" s="38" t="s">
        <v>145</v>
      </c>
      <c r="D203" s="38" t="s">
        <v>146</v>
      </c>
      <c r="E203" s="38" t="s">
        <v>1571</v>
      </c>
      <c r="F203" s="38">
        <f t="shared" si="27"/>
        <v>2024</v>
      </c>
      <c r="G203" s="38" t="str">
        <f t="shared" si="28"/>
        <v>June</v>
      </c>
      <c r="H203" s="30">
        <v>295874</v>
      </c>
      <c r="I203" s="30">
        <v>20384</v>
      </c>
      <c r="J203" s="39">
        <v>3505</v>
      </c>
      <c r="K203" s="39">
        <v>2023</v>
      </c>
      <c r="L203" s="39">
        <v>974</v>
      </c>
      <c r="M203" s="40">
        <v>195140.62</v>
      </c>
      <c r="N203" s="40">
        <v>5500364.7</v>
      </c>
      <c r="O203" s="33">
        <f t="shared" si="31"/>
        <v>6.89</v>
      </c>
      <c r="P203" s="34">
        <f t="shared" si="29"/>
        <v>55.6749272467903</v>
      </c>
      <c r="Q203" s="35">
        <f t="shared" si="30"/>
        <v>28.1866722571651</v>
      </c>
      <c r="R203" s="35">
        <f t="shared" si="24"/>
        <v>9.57322507849294</v>
      </c>
      <c r="S203" s="33">
        <f t="shared" si="25"/>
        <v>659.54</v>
      </c>
      <c r="T203" s="36">
        <f t="shared" si="26"/>
        <v>2718.67</v>
      </c>
    </row>
    <row r="204" spans="1:20">
      <c r="A204" s="28">
        <v>45463</v>
      </c>
      <c r="B204" s="29" t="s">
        <v>144</v>
      </c>
      <c r="C204" s="29" t="s">
        <v>145</v>
      </c>
      <c r="D204" s="29" t="s">
        <v>146</v>
      </c>
      <c r="E204" s="29" t="s">
        <v>1571</v>
      </c>
      <c r="F204" s="29">
        <f t="shared" si="27"/>
        <v>2024</v>
      </c>
      <c r="G204" s="29" t="str">
        <f t="shared" si="28"/>
        <v>June</v>
      </c>
      <c r="H204" s="30">
        <v>205409</v>
      </c>
      <c r="I204" s="30">
        <v>7026</v>
      </c>
      <c r="J204" s="31">
        <v>1119</v>
      </c>
      <c r="K204" s="31">
        <v>706</v>
      </c>
      <c r="L204" s="31">
        <v>423</v>
      </c>
      <c r="M204" s="32">
        <v>175824.96</v>
      </c>
      <c r="N204" s="32">
        <v>1322998.03</v>
      </c>
      <c r="O204" s="33">
        <f t="shared" si="31"/>
        <v>3.42</v>
      </c>
      <c r="P204" s="34">
        <f t="shared" si="29"/>
        <v>157.126863270777</v>
      </c>
      <c r="Q204" s="35">
        <f t="shared" si="30"/>
        <v>7.5245177362759</v>
      </c>
      <c r="R204" s="35">
        <f t="shared" si="24"/>
        <v>25.024901793339</v>
      </c>
      <c r="S204" s="33">
        <f t="shared" si="25"/>
        <v>855.97</v>
      </c>
      <c r="T204" s="36">
        <f t="shared" si="26"/>
        <v>652.45</v>
      </c>
    </row>
    <row r="205" spans="1:20">
      <c r="A205" s="37">
        <v>45464</v>
      </c>
      <c r="B205" s="38" t="s">
        <v>144</v>
      </c>
      <c r="C205" s="38" t="s">
        <v>145</v>
      </c>
      <c r="D205" s="38" t="s">
        <v>146</v>
      </c>
      <c r="E205" s="38" t="s">
        <v>1571</v>
      </c>
      <c r="F205" s="38">
        <f t="shared" si="27"/>
        <v>2024</v>
      </c>
      <c r="G205" s="38" t="str">
        <f t="shared" si="28"/>
        <v>June</v>
      </c>
      <c r="H205" s="30">
        <v>189047</v>
      </c>
      <c r="I205" s="30">
        <v>7231</v>
      </c>
      <c r="J205" s="39">
        <v>1473</v>
      </c>
      <c r="K205" s="39">
        <v>846</v>
      </c>
      <c r="L205" s="39">
        <v>469</v>
      </c>
      <c r="M205" s="40">
        <v>149311.23</v>
      </c>
      <c r="N205" s="40">
        <v>2655170.75</v>
      </c>
      <c r="O205" s="33">
        <f t="shared" si="31"/>
        <v>3.82</v>
      </c>
      <c r="P205" s="34">
        <f t="shared" si="29"/>
        <v>101.365397148676</v>
      </c>
      <c r="Q205" s="35">
        <f t="shared" si="30"/>
        <v>17.7827933639017</v>
      </c>
      <c r="R205" s="35">
        <f t="shared" si="24"/>
        <v>20.6487664223482</v>
      </c>
      <c r="S205" s="33">
        <f t="shared" si="25"/>
        <v>789.81</v>
      </c>
      <c r="T205" s="36">
        <f t="shared" si="26"/>
        <v>1678.28</v>
      </c>
    </row>
    <row r="206" spans="1:20">
      <c r="A206" s="28">
        <v>45465</v>
      </c>
      <c r="B206" s="29" t="s">
        <v>144</v>
      </c>
      <c r="C206" s="29" t="s">
        <v>145</v>
      </c>
      <c r="D206" s="29" t="s">
        <v>146</v>
      </c>
      <c r="E206" s="29" t="s">
        <v>1571</v>
      </c>
      <c r="F206" s="29">
        <f t="shared" si="27"/>
        <v>2024</v>
      </c>
      <c r="G206" s="29" t="str">
        <f t="shared" si="28"/>
        <v>June</v>
      </c>
      <c r="H206" s="30">
        <v>174907</v>
      </c>
      <c r="I206" s="30">
        <v>8495</v>
      </c>
      <c r="J206" s="31">
        <v>2121</v>
      </c>
      <c r="K206" s="31">
        <v>1059</v>
      </c>
      <c r="L206" s="31">
        <v>425</v>
      </c>
      <c r="M206" s="32">
        <v>134700.51</v>
      </c>
      <c r="N206" s="32">
        <v>2590998.61</v>
      </c>
      <c r="O206" s="33">
        <f t="shared" si="31"/>
        <v>4.86</v>
      </c>
      <c r="P206" s="34">
        <f t="shared" si="29"/>
        <v>63.5080198019802</v>
      </c>
      <c r="Q206" s="35">
        <f t="shared" si="30"/>
        <v>19.2352546400901</v>
      </c>
      <c r="R206" s="35">
        <f t="shared" si="24"/>
        <v>15.8564461447911</v>
      </c>
      <c r="S206" s="33">
        <f t="shared" si="25"/>
        <v>770.13</v>
      </c>
      <c r="T206" s="36">
        <f t="shared" si="26"/>
        <v>1823.53</v>
      </c>
    </row>
    <row r="207" spans="1:20">
      <c r="A207" s="37">
        <v>45466</v>
      </c>
      <c r="B207" s="38" t="s">
        <v>144</v>
      </c>
      <c r="C207" s="38" t="s">
        <v>145</v>
      </c>
      <c r="D207" s="38" t="s">
        <v>146</v>
      </c>
      <c r="E207" s="38" t="s">
        <v>1571</v>
      </c>
      <c r="F207" s="38">
        <f t="shared" si="27"/>
        <v>2024</v>
      </c>
      <c r="G207" s="38" t="str">
        <f t="shared" si="28"/>
        <v>June</v>
      </c>
      <c r="H207" s="30">
        <v>176167</v>
      </c>
      <c r="I207" s="30">
        <v>10868</v>
      </c>
      <c r="J207" s="39">
        <v>1936</v>
      </c>
      <c r="K207" s="39">
        <v>1164</v>
      </c>
      <c r="L207" s="39">
        <v>627</v>
      </c>
      <c r="M207" s="40">
        <v>121892.02</v>
      </c>
      <c r="N207" s="40">
        <v>4751275.42</v>
      </c>
      <c r="O207" s="33">
        <f t="shared" si="31"/>
        <v>6.17</v>
      </c>
      <c r="P207" s="34">
        <f t="shared" si="29"/>
        <v>62.9607541322314</v>
      </c>
      <c r="Q207" s="35">
        <f t="shared" si="30"/>
        <v>38.9793804385226</v>
      </c>
      <c r="R207" s="35">
        <f t="shared" si="24"/>
        <v>11.2156808980493</v>
      </c>
      <c r="S207" s="33">
        <f t="shared" si="25"/>
        <v>691.91</v>
      </c>
      <c r="T207" s="36">
        <f t="shared" si="26"/>
        <v>3797.94</v>
      </c>
    </row>
    <row r="208" spans="1:20">
      <c r="A208" s="28">
        <v>45467</v>
      </c>
      <c r="B208" s="29" t="s">
        <v>144</v>
      </c>
      <c r="C208" s="29" t="s">
        <v>145</v>
      </c>
      <c r="D208" s="29" t="s">
        <v>146</v>
      </c>
      <c r="E208" s="29" t="s">
        <v>1571</v>
      </c>
      <c r="F208" s="29">
        <f t="shared" si="27"/>
        <v>2024</v>
      </c>
      <c r="G208" s="29" t="str">
        <f t="shared" si="28"/>
        <v>June</v>
      </c>
      <c r="H208" s="30">
        <v>170905</v>
      </c>
      <c r="I208" s="30">
        <v>8986</v>
      </c>
      <c r="J208" s="31">
        <v>2123</v>
      </c>
      <c r="K208" s="31">
        <v>1289</v>
      </c>
      <c r="L208" s="31">
        <v>772</v>
      </c>
      <c r="M208" s="32">
        <v>77320.5</v>
      </c>
      <c r="N208" s="32">
        <v>3546992.04</v>
      </c>
      <c r="O208" s="33">
        <f t="shared" si="31"/>
        <v>5.26</v>
      </c>
      <c r="P208" s="34">
        <f t="shared" si="29"/>
        <v>36.4203956665097</v>
      </c>
      <c r="Q208" s="35">
        <f t="shared" si="30"/>
        <v>45.873889072109</v>
      </c>
      <c r="R208" s="35">
        <f t="shared" si="24"/>
        <v>8.60455152459381</v>
      </c>
      <c r="S208" s="33">
        <f t="shared" si="25"/>
        <v>452.42</v>
      </c>
      <c r="T208" s="36">
        <f t="shared" si="26"/>
        <v>4487.39</v>
      </c>
    </row>
    <row r="209" spans="1:20">
      <c r="A209" s="37">
        <v>45468</v>
      </c>
      <c r="B209" s="38" t="s">
        <v>144</v>
      </c>
      <c r="C209" s="38" t="s">
        <v>145</v>
      </c>
      <c r="D209" s="38" t="s">
        <v>146</v>
      </c>
      <c r="E209" s="38" t="s">
        <v>1571</v>
      </c>
      <c r="F209" s="38">
        <f t="shared" si="27"/>
        <v>2024</v>
      </c>
      <c r="G209" s="38" t="str">
        <f t="shared" si="28"/>
        <v>June</v>
      </c>
      <c r="H209" s="30">
        <v>92195</v>
      </c>
      <c r="I209" s="30">
        <v>6158</v>
      </c>
      <c r="J209" s="39">
        <v>1102</v>
      </c>
      <c r="K209" s="39">
        <v>514</v>
      </c>
      <c r="L209" s="39">
        <v>217</v>
      </c>
      <c r="M209" s="40">
        <v>53344.57</v>
      </c>
      <c r="N209" s="40">
        <v>1158159.81</v>
      </c>
      <c r="O209" s="33">
        <f t="shared" si="31"/>
        <v>6.68</v>
      </c>
      <c r="P209" s="34">
        <f t="shared" si="29"/>
        <v>48.4070508166969</v>
      </c>
      <c r="Q209" s="35">
        <f t="shared" si="30"/>
        <v>21.7109222175753</v>
      </c>
      <c r="R209" s="35">
        <f t="shared" si="24"/>
        <v>8.66264533939591</v>
      </c>
      <c r="S209" s="33">
        <f t="shared" si="25"/>
        <v>578.61</v>
      </c>
      <c r="T209" s="36">
        <f t="shared" si="26"/>
        <v>2071.09</v>
      </c>
    </row>
    <row r="210" spans="1:20">
      <c r="A210" s="28">
        <v>45469</v>
      </c>
      <c r="B210" s="29" t="s">
        <v>144</v>
      </c>
      <c r="C210" s="29" t="s">
        <v>145</v>
      </c>
      <c r="D210" s="29" t="s">
        <v>146</v>
      </c>
      <c r="E210" s="29" t="s">
        <v>1571</v>
      </c>
      <c r="F210" s="29">
        <f t="shared" si="27"/>
        <v>2024</v>
      </c>
      <c r="G210" s="29" t="str">
        <f t="shared" si="28"/>
        <v>June</v>
      </c>
      <c r="H210" s="30">
        <v>144589</v>
      </c>
      <c r="I210" s="30">
        <v>11439</v>
      </c>
      <c r="J210" s="31">
        <v>2189</v>
      </c>
      <c r="K210" s="31">
        <v>1146</v>
      </c>
      <c r="L210" s="31">
        <v>674</v>
      </c>
      <c r="M210" s="32">
        <v>93882.94</v>
      </c>
      <c r="N210" s="32">
        <v>3774177.24</v>
      </c>
      <c r="O210" s="33">
        <f t="shared" si="31"/>
        <v>7.91</v>
      </c>
      <c r="P210" s="34">
        <f t="shared" si="29"/>
        <v>42.8885061671996</v>
      </c>
      <c r="Q210" s="35">
        <f t="shared" si="30"/>
        <v>40.200884633566</v>
      </c>
      <c r="R210" s="35">
        <f t="shared" si="24"/>
        <v>8.20726811784247</v>
      </c>
      <c r="S210" s="33">
        <f t="shared" si="25"/>
        <v>649.31</v>
      </c>
      <c r="T210" s="36">
        <f t="shared" si="26"/>
        <v>3920.09</v>
      </c>
    </row>
    <row r="211" spans="1:20">
      <c r="A211" s="37">
        <v>45470</v>
      </c>
      <c r="B211" s="38" t="s">
        <v>144</v>
      </c>
      <c r="C211" s="38" t="s">
        <v>145</v>
      </c>
      <c r="D211" s="38" t="s">
        <v>146</v>
      </c>
      <c r="E211" s="38" t="s">
        <v>1571</v>
      </c>
      <c r="F211" s="38">
        <f t="shared" si="27"/>
        <v>2024</v>
      </c>
      <c r="G211" s="38" t="str">
        <f t="shared" si="28"/>
        <v>June</v>
      </c>
      <c r="H211" s="30">
        <v>218634</v>
      </c>
      <c r="I211" s="30">
        <v>13467</v>
      </c>
      <c r="J211" s="39">
        <v>2852</v>
      </c>
      <c r="K211" s="39">
        <v>1603</v>
      </c>
      <c r="L211" s="39">
        <v>838</v>
      </c>
      <c r="M211" s="40">
        <v>196856.04</v>
      </c>
      <c r="N211" s="40">
        <v>2571768.14</v>
      </c>
      <c r="O211" s="33">
        <f t="shared" si="31"/>
        <v>6.16</v>
      </c>
      <c r="P211" s="34">
        <f t="shared" si="29"/>
        <v>69.0238569424965</v>
      </c>
      <c r="Q211" s="35">
        <f t="shared" si="30"/>
        <v>13.0642074279255</v>
      </c>
      <c r="R211" s="35">
        <f t="shared" si="24"/>
        <v>14.6176609489864</v>
      </c>
      <c r="S211" s="33">
        <f t="shared" si="25"/>
        <v>900.39</v>
      </c>
      <c r="T211" s="36">
        <f t="shared" si="26"/>
        <v>1206.42</v>
      </c>
    </row>
    <row r="212" spans="1:20">
      <c r="A212" s="28">
        <v>45471</v>
      </c>
      <c r="B212" s="29" t="s">
        <v>144</v>
      </c>
      <c r="C212" s="29" t="s">
        <v>145</v>
      </c>
      <c r="D212" s="29" t="s">
        <v>146</v>
      </c>
      <c r="E212" s="29" t="s">
        <v>1571</v>
      </c>
      <c r="F212" s="29">
        <f t="shared" si="27"/>
        <v>2024</v>
      </c>
      <c r="G212" s="29" t="str">
        <f t="shared" si="28"/>
        <v>June</v>
      </c>
      <c r="H212" s="30">
        <v>224017</v>
      </c>
      <c r="I212" s="30">
        <v>17218</v>
      </c>
      <c r="J212" s="31">
        <v>3927</v>
      </c>
      <c r="K212" s="31">
        <v>2217</v>
      </c>
      <c r="L212" s="31">
        <v>1085</v>
      </c>
      <c r="M212" s="32">
        <v>145416.06</v>
      </c>
      <c r="N212" s="32">
        <v>7154154.91</v>
      </c>
      <c r="O212" s="33">
        <f t="shared" si="31"/>
        <v>7.69</v>
      </c>
      <c r="P212" s="34">
        <f t="shared" si="29"/>
        <v>37.0298090145149</v>
      </c>
      <c r="Q212" s="35">
        <f t="shared" si="30"/>
        <v>49.1978321376607</v>
      </c>
      <c r="R212" s="35">
        <f t="shared" si="24"/>
        <v>8.44558369148565</v>
      </c>
      <c r="S212" s="33">
        <f t="shared" si="25"/>
        <v>649.13</v>
      </c>
      <c r="T212" s="36">
        <f t="shared" si="26"/>
        <v>4819.78</v>
      </c>
    </row>
    <row r="213" spans="1:20">
      <c r="A213" s="37">
        <v>45472</v>
      </c>
      <c r="B213" s="38" t="s">
        <v>144</v>
      </c>
      <c r="C213" s="38" t="s">
        <v>145</v>
      </c>
      <c r="D213" s="38" t="s">
        <v>146</v>
      </c>
      <c r="E213" s="38" t="s">
        <v>1571</v>
      </c>
      <c r="F213" s="38">
        <f t="shared" si="27"/>
        <v>2024</v>
      </c>
      <c r="G213" s="38" t="str">
        <f t="shared" si="28"/>
        <v>June</v>
      </c>
      <c r="H213" s="30">
        <v>99562</v>
      </c>
      <c r="I213" s="30">
        <v>5277</v>
      </c>
      <c r="J213" s="39">
        <v>1146</v>
      </c>
      <c r="K213" s="39">
        <v>694</v>
      </c>
      <c r="L213" s="39">
        <v>296</v>
      </c>
      <c r="M213" s="40">
        <v>73478.7</v>
      </c>
      <c r="N213" s="40">
        <v>920163.38</v>
      </c>
      <c r="O213" s="33">
        <f t="shared" si="31"/>
        <v>5.3</v>
      </c>
      <c r="P213" s="34">
        <f t="shared" si="29"/>
        <v>64.1175392670157</v>
      </c>
      <c r="Q213" s="35">
        <f t="shared" si="30"/>
        <v>12.5228587332111</v>
      </c>
      <c r="R213" s="35">
        <f t="shared" si="24"/>
        <v>13.9243320068221</v>
      </c>
      <c r="S213" s="33">
        <f t="shared" si="25"/>
        <v>738.02</v>
      </c>
      <c r="T213" s="36">
        <f t="shared" si="26"/>
        <v>1152.29</v>
      </c>
    </row>
    <row r="214" spans="1:20">
      <c r="A214" s="28">
        <v>45473</v>
      </c>
      <c r="B214" s="29" t="s">
        <v>144</v>
      </c>
      <c r="C214" s="29" t="s">
        <v>145</v>
      </c>
      <c r="D214" s="29" t="s">
        <v>146</v>
      </c>
      <c r="E214" s="29" t="s">
        <v>1571</v>
      </c>
      <c r="F214" s="29">
        <f t="shared" si="27"/>
        <v>2024</v>
      </c>
      <c r="G214" s="29" t="str">
        <f t="shared" si="28"/>
        <v>June</v>
      </c>
      <c r="H214" s="30">
        <v>247894</v>
      </c>
      <c r="I214" s="30">
        <v>9939</v>
      </c>
      <c r="J214" s="31">
        <v>2312</v>
      </c>
      <c r="K214" s="31">
        <v>1356</v>
      </c>
      <c r="L214" s="31">
        <v>632</v>
      </c>
      <c r="M214" s="32">
        <v>174102.28</v>
      </c>
      <c r="N214" s="32">
        <v>4208262.52</v>
      </c>
      <c r="O214" s="33">
        <f t="shared" si="31"/>
        <v>4.01</v>
      </c>
      <c r="P214" s="34">
        <f t="shared" si="29"/>
        <v>75.3037543252595</v>
      </c>
      <c r="Q214" s="35">
        <f t="shared" si="30"/>
        <v>24.1712085562578</v>
      </c>
      <c r="R214" s="35">
        <f t="shared" si="24"/>
        <v>17.5170822014287</v>
      </c>
      <c r="S214" s="33">
        <f t="shared" si="25"/>
        <v>702.33</v>
      </c>
      <c r="T214" s="36">
        <f t="shared" si="26"/>
        <v>2317.12</v>
      </c>
    </row>
    <row r="215" spans="1:20">
      <c r="A215" s="37">
        <v>45298</v>
      </c>
      <c r="B215" s="38" t="s">
        <v>144</v>
      </c>
      <c r="C215" s="38" t="s">
        <v>145</v>
      </c>
      <c r="D215" s="38" t="s">
        <v>146</v>
      </c>
      <c r="E215" s="38" t="s">
        <v>1571</v>
      </c>
      <c r="F215" s="38">
        <f t="shared" si="27"/>
        <v>2024</v>
      </c>
      <c r="G215" s="38" t="str">
        <f t="shared" si="28"/>
        <v>January</v>
      </c>
      <c r="H215" s="30">
        <v>189966</v>
      </c>
      <c r="I215" s="30">
        <v>6959</v>
      </c>
      <c r="J215" s="39">
        <v>1711</v>
      </c>
      <c r="K215" s="39">
        <v>797</v>
      </c>
      <c r="L215" s="39">
        <v>357</v>
      </c>
      <c r="M215" s="40">
        <v>128422.24</v>
      </c>
      <c r="N215" s="40">
        <v>2524973.42</v>
      </c>
      <c r="O215" s="33">
        <f t="shared" si="31"/>
        <v>3.66</v>
      </c>
      <c r="P215" s="34">
        <f t="shared" si="29"/>
        <v>75.0568322618352</v>
      </c>
      <c r="Q215" s="35">
        <f t="shared" si="30"/>
        <v>19.6614964822292</v>
      </c>
      <c r="R215" s="35">
        <f t="shared" si="24"/>
        <v>18.4541227187814</v>
      </c>
      <c r="S215" s="33">
        <f t="shared" si="25"/>
        <v>676.03</v>
      </c>
      <c r="T215" s="36">
        <f t="shared" si="26"/>
        <v>1866.15</v>
      </c>
    </row>
    <row r="216" spans="1:20">
      <c r="A216" s="28">
        <v>45329</v>
      </c>
      <c r="B216" s="29" t="s">
        <v>144</v>
      </c>
      <c r="C216" s="29" t="s">
        <v>145</v>
      </c>
      <c r="D216" s="29" t="s">
        <v>146</v>
      </c>
      <c r="E216" s="29" t="s">
        <v>1571</v>
      </c>
      <c r="F216" s="29">
        <f t="shared" si="27"/>
        <v>2024</v>
      </c>
      <c r="G216" s="29" t="str">
        <f t="shared" si="28"/>
        <v>February</v>
      </c>
      <c r="H216" s="30">
        <v>290368</v>
      </c>
      <c r="I216" s="30">
        <v>17043</v>
      </c>
      <c r="J216" s="31">
        <v>2956</v>
      </c>
      <c r="K216" s="31">
        <v>1912</v>
      </c>
      <c r="L216" s="31">
        <v>1082</v>
      </c>
      <c r="M216" s="32">
        <v>182544.6</v>
      </c>
      <c r="N216" s="32">
        <v>3348574.79</v>
      </c>
      <c r="O216" s="33">
        <f t="shared" si="31"/>
        <v>5.87</v>
      </c>
      <c r="P216" s="34">
        <f t="shared" si="29"/>
        <v>61.7539242219215</v>
      </c>
      <c r="Q216" s="35">
        <f t="shared" si="30"/>
        <v>18.3438720729071</v>
      </c>
      <c r="R216" s="35">
        <f t="shared" si="24"/>
        <v>10.7108255588805</v>
      </c>
      <c r="S216" s="33">
        <f t="shared" si="25"/>
        <v>628.67</v>
      </c>
      <c r="T216" s="36">
        <f t="shared" si="26"/>
        <v>1734.39</v>
      </c>
    </row>
    <row r="217" spans="1:20">
      <c r="A217" s="37">
        <v>45358</v>
      </c>
      <c r="B217" s="38" t="s">
        <v>144</v>
      </c>
      <c r="C217" s="38" t="s">
        <v>145</v>
      </c>
      <c r="D217" s="38" t="s">
        <v>146</v>
      </c>
      <c r="E217" s="38" t="s">
        <v>1571</v>
      </c>
      <c r="F217" s="38">
        <f t="shared" si="27"/>
        <v>2024</v>
      </c>
      <c r="G217" s="38" t="str">
        <f t="shared" si="28"/>
        <v>March</v>
      </c>
      <c r="H217" s="30">
        <v>98624</v>
      </c>
      <c r="I217" s="30">
        <v>5398</v>
      </c>
      <c r="J217" s="39">
        <v>1025</v>
      </c>
      <c r="K217" s="39">
        <v>555</v>
      </c>
      <c r="L217" s="39">
        <v>234</v>
      </c>
      <c r="M217" s="40">
        <v>58644.23</v>
      </c>
      <c r="N217" s="40">
        <v>1605697.96</v>
      </c>
      <c r="O217" s="33">
        <f t="shared" si="31"/>
        <v>5.47</v>
      </c>
      <c r="P217" s="34">
        <f t="shared" si="29"/>
        <v>57.2138829268293</v>
      </c>
      <c r="Q217" s="35">
        <f t="shared" si="30"/>
        <v>27.3803230087598</v>
      </c>
      <c r="R217" s="35">
        <f t="shared" si="24"/>
        <v>10.8640663208596</v>
      </c>
      <c r="S217" s="33">
        <f t="shared" si="25"/>
        <v>594.62</v>
      </c>
      <c r="T217" s="36">
        <f t="shared" si="26"/>
        <v>2638.03</v>
      </c>
    </row>
    <row r="218" spans="1:20">
      <c r="A218" s="28">
        <v>45389</v>
      </c>
      <c r="B218" s="29" t="s">
        <v>144</v>
      </c>
      <c r="C218" s="29" t="s">
        <v>145</v>
      </c>
      <c r="D218" s="29" t="s">
        <v>146</v>
      </c>
      <c r="E218" s="29" t="s">
        <v>1571</v>
      </c>
      <c r="F218" s="29">
        <f t="shared" si="27"/>
        <v>2024</v>
      </c>
      <c r="G218" s="29" t="str">
        <f t="shared" si="28"/>
        <v>April</v>
      </c>
      <c r="H218" s="30">
        <v>185544</v>
      </c>
      <c r="I218" s="30">
        <v>8967</v>
      </c>
      <c r="J218" s="31">
        <v>1881</v>
      </c>
      <c r="K218" s="31">
        <v>974</v>
      </c>
      <c r="L218" s="31">
        <v>497</v>
      </c>
      <c r="M218" s="32">
        <v>143891.23</v>
      </c>
      <c r="N218" s="32">
        <v>2013575.82</v>
      </c>
      <c r="O218" s="33">
        <f t="shared" si="31"/>
        <v>4.83</v>
      </c>
      <c r="P218" s="34">
        <f t="shared" si="29"/>
        <v>76.4971982987772</v>
      </c>
      <c r="Q218" s="35">
        <f t="shared" si="30"/>
        <v>13.9937355459398</v>
      </c>
      <c r="R218" s="35">
        <f t="shared" si="24"/>
        <v>16.0467525370804</v>
      </c>
      <c r="S218" s="33">
        <f t="shared" si="25"/>
        <v>775.51</v>
      </c>
      <c r="T218" s="36">
        <f t="shared" si="26"/>
        <v>1299.37</v>
      </c>
    </row>
    <row r="219" spans="1:20">
      <c r="A219" s="37">
        <v>45419</v>
      </c>
      <c r="B219" s="38" t="s">
        <v>144</v>
      </c>
      <c r="C219" s="38" t="s">
        <v>145</v>
      </c>
      <c r="D219" s="38" t="s">
        <v>146</v>
      </c>
      <c r="E219" s="38" t="s">
        <v>1571</v>
      </c>
      <c r="F219" s="38">
        <f t="shared" si="27"/>
        <v>2024</v>
      </c>
      <c r="G219" s="38" t="str">
        <f t="shared" si="28"/>
        <v>May</v>
      </c>
      <c r="H219" s="30">
        <v>64345</v>
      </c>
      <c r="I219" s="30">
        <v>2893</v>
      </c>
      <c r="J219" s="39">
        <v>673</v>
      </c>
      <c r="K219" s="39">
        <v>399</v>
      </c>
      <c r="L219" s="39">
        <v>231</v>
      </c>
      <c r="M219" s="40">
        <v>58397.08</v>
      </c>
      <c r="N219" s="40">
        <v>1512057.86</v>
      </c>
      <c r="O219" s="33">
        <f t="shared" si="31"/>
        <v>4.5</v>
      </c>
      <c r="P219" s="34">
        <f t="shared" si="29"/>
        <v>86.7712927191679</v>
      </c>
      <c r="Q219" s="35">
        <f t="shared" si="30"/>
        <v>25.8926963471461</v>
      </c>
      <c r="R219" s="35">
        <f t="shared" si="24"/>
        <v>20.1856481161424</v>
      </c>
      <c r="S219" s="33">
        <f t="shared" si="25"/>
        <v>907.56</v>
      </c>
      <c r="T219" s="36">
        <f t="shared" si="26"/>
        <v>2489.27</v>
      </c>
    </row>
    <row r="220" spans="1:20">
      <c r="A220" s="28">
        <v>45450</v>
      </c>
      <c r="B220" s="29" t="s">
        <v>144</v>
      </c>
      <c r="C220" s="29" t="s">
        <v>145</v>
      </c>
      <c r="D220" s="29" t="s">
        <v>146</v>
      </c>
      <c r="E220" s="29" t="s">
        <v>1571</v>
      </c>
      <c r="F220" s="29">
        <f t="shared" si="27"/>
        <v>2024</v>
      </c>
      <c r="G220" s="29" t="str">
        <f t="shared" si="28"/>
        <v>June</v>
      </c>
      <c r="H220" s="30">
        <v>260059</v>
      </c>
      <c r="I220" s="30">
        <v>15459</v>
      </c>
      <c r="J220" s="31">
        <v>2859</v>
      </c>
      <c r="K220" s="31">
        <v>1616</v>
      </c>
      <c r="L220" s="31">
        <v>748</v>
      </c>
      <c r="M220" s="32">
        <v>238169.83</v>
      </c>
      <c r="N220" s="32">
        <v>3760809.01</v>
      </c>
      <c r="O220" s="33">
        <f t="shared" si="31"/>
        <v>5.94</v>
      </c>
      <c r="P220" s="34">
        <f t="shared" si="29"/>
        <v>83.3052920601609</v>
      </c>
      <c r="Q220" s="35">
        <f t="shared" si="30"/>
        <v>15.7904509147947</v>
      </c>
      <c r="R220" s="35">
        <f t="shared" si="24"/>
        <v>15.4065482890226</v>
      </c>
      <c r="S220" s="33">
        <f t="shared" si="25"/>
        <v>915.83</v>
      </c>
      <c r="T220" s="36">
        <f t="shared" si="26"/>
        <v>1479.05</v>
      </c>
    </row>
    <row r="221" spans="1:20">
      <c r="A221" s="37">
        <v>45480</v>
      </c>
      <c r="B221" s="38" t="s">
        <v>144</v>
      </c>
      <c r="C221" s="38" t="s">
        <v>145</v>
      </c>
      <c r="D221" s="38" t="s">
        <v>146</v>
      </c>
      <c r="E221" s="38" t="s">
        <v>1571</v>
      </c>
      <c r="F221" s="38">
        <f t="shared" si="27"/>
        <v>2024</v>
      </c>
      <c r="G221" s="38" t="str">
        <f t="shared" si="28"/>
        <v>July</v>
      </c>
      <c r="H221" s="30">
        <v>272679</v>
      </c>
      <c r="I221" s="30">
        <v>12573</v>
      </c>
      <c r="J221" s="39">
        <v>2386</v>
      </c>
      <c r="K221" s="39">
        <v>1298</v>
      </c>
      <c r="L221" s="39">
        <v>669</v>
      </c>
      <c r="M221" s="40">
        <v>125239.22</v>
      </c>
      <c r="N221" s="40">
        <v>4864239.68</v>
      </c>
      <c r="O221" s="33">
        <f t="shared" si="31"/>
        <v>4.61</v>
      </c>
      <c r="P221" s="34">
        <f t="shared" si="29"/>
        <v>52.4891953059514</v>
      </c>
      <c r="Q221" s="35">
        <f t="shared" si="30"/>
        <v>38.8395877904701</v>
      </c>
      <c r="R221" s="35">
        <f t="shared" si="24"/>
        <v>9.96096556112304</v>
      </c>
      <c r="S221" s="33">
        <f t="shared" si="25"/>
        <v>459.29</v>
      </c>
      <c r="T221" s="36">
        <f t="shared" si="26"/>
        <v>3783.96</v>
      </c>
    </row>
    <row r="222" spans="1:20">
      <c r="A222" s="28">
        <v>45511</v>
      </c>
      <c r="B222" s="29" t="s">
        <v>144</v>
      </c>
      <c r="C222" s="29" t="s">
        <v>145</v>
      </c>
      <c r="D222" s="29" t="s">
        <v>146</v>
      </c>
      <c r="E222" s="29" t="s">
        <v>1571</v>
      </c>
      <c r="F222" s="29">
        <f t="shared" si="27"/>
        <v>2024</v>
      </c>
      <c r="G222" s="29" t="str">
        <f t="shared" si="28"/>
        <v>August</v>
      </c>
      <c r="H222" s="30">
        <v>248350</v>
      </c>
      <c r="I222" s="30">
        <v>16741</v>
      </c>
      <c r="J222" s="31">
        <v>2897</v>
      </c>
      <c r="K222" s="31">
        <v>1713</v>
      </c>
      <c r="L222" s="31">
        <v>861</v>
      </c>
      <c r="M222" s="32">
        <v>217164.85</v>
      </c>
      <c r="N222" s="32">
        <v>3498930.88</v>
      </c>
      <c r="O222" s="33">
        <f t="shared" si="31"/>
        <v>6.74</v>
      </c>
      <c r="P222" s="34">
        <f t="shared" si="29"/>
        <v>74.9619779081809</v>
      </c>
      <c r="Q222" s="35">
        <f t="shared" si="30"/>
        <v>16.1118656172949</v>
      </c>
      <c r="R222" s="35">
        <f t="shared" si="24"/>
        <v>12.9720357206857</v>
      </c>
      <c r="S222" s="33">
        <f t="shared" si="25"/>
        <v>874.43</v>
      </c>
      <c r="T222" s="36">
        <f t="shared" si="26"/>
        <v>1511.19</v>
      </c>
    </row>
    <row r="223" spans="1:20">
      <c r="A223" s="37">
        <v>45542</v>
      </c>
      <c r="B223" s="38" t="s">
        <v>144</v>
      </c>
      <c r="C223" s="38" t="s">
        <v>145</v>
      </c>
      <c r="D223" s="38" t="s">
        <v>146</v>
      </c>
      <c r="E223" s="38" t="s">
        <v>1571</v>
      </c>
      <c r="F223" s="38">
        <f t="shared" si="27"/>
        <v>2024</v>
      </c>
      <c r="G223" s="38" t="str">
        <f t="shared" si="28"/>
        <v>September</v>
      </c>
      <c r="H223" s="30">
        <v>177393</v>
      </c>
      <c r="I223" s="30">
        <v>7806</v>
      </c>
      <c r="J223" s="39">
        <v>1826</v>
      </c>
      <c r="K223" s="39">
        <v>1016</v>
      </c>
      <c r="L223" s="39">
        <v>471</v>
      </c>
      <c r="M223" s="40">
        <v>138014.22</v>
      </c>
      <c r="N223" s="40">
        <v>3729596.77</v>
      </c>
      <c r="O223" s="33">
        <f t="shared" si="31"/>
        <v>4.4</v>
      </c>
      <c r="P223" s="34">
        <f t="shared" si="29"/>
        <v>75.5828148959474</v>
      </c>
      <c r="Q223" s="35">
        <f t="shared" si="30"/>
        <v>27.0232789780647</v>
      </c>
      <c r="R223" s="35">
        <f t="shared" si="24"/>
        <v>17.6805303612606</v>
      </c>
      <c r="S223" s="33">
        <f t="shared" si="25"/>
        <v>778.01</v>
      </c>
      <c r="T223" s="36">
        <f t="shared" si="26"/>
        <v>2602.33</v>
      </c>
    </row>
    <row r="224" spans="1:20">
      <c r="A224" s="28">
        <v>45572</v>
      </c>
      <c r="B224" s="29" t="s">
        <v>144</v>
      </c>
      <c r="C224" s="29" t="s">
        <v>145</v>
      </c>
      <c r="D224" s="29" t="s">
        <v>146</v>
      </c>
      <c r="E224" s="29" t="s">
        <v>1571</v>
      </c>
      <c r="F224" s="29">
        <f t="shared" si="27"/>
        <v>2024</v>
      </c>
      <c r="G224" s="29" t="str">
        <f t="shared" si="28"/>
        <v>October</v>
      </c>
      <c r="H224" s="30">
        <v>151029</v>
      </c>
      <c r="I224" s="30">
        <v>9303</v>
      </c>
      <c r="J224" s="31">
        <v>1887</v>
      </c>
      <c r="K224" s="31">
        <v>1057</v>
      </c>
      <c r="L224" s="31">
        <v>498</v>
      </c>
      <c r="M224" s="32">
        <v>70776.38</v>
      </c>
      <c r="N224" s="32">
        <v>1931400.27</v>
      </c>
      <c r="O224" s="33">
        <f t="shared" si="31"/>
        <v>6.16</v>
      </c>
      <c r="P224" s="34">
        <f t="shared" si="29"/>
        <v>37.507355590885</v>
      </c>
      <c r="Q224" s="35">
        <f t="shared" si="30"/>
        <v>27.2887687954654</v>
      </c>
      <c r="R224" s="35">
        <f t="shared" si="24"/>
        <v>7.60790927657745</v>
      </c>
      <c r="S224" s="33">
        <f t="shared" si="25"/>
        <v>468.63</v>
      </c>
      <c r="T224" s="36">
        <f t="shared" si="26"/>
        <v>2628.88</v>
      </c>
    </row>
    <row r="225" spans="1:20">
      <c r="A225" s="37">
        <v>45603</v>
      </c>
      <c r="B225" s="38" t="s">
        <v>144</v>
      </c>
      <c r="C225" s="38" t="s">
        <v>145</v>
      </c>
      <c r="D225" s="38" t="s">
        <v>146</v>
      </c>
      <c r="E225" s="38" t="s">
        <v>1571</v>
      </c>
      <c r="F225" s="38">
        <f t="shared" si="27"/>
        <v>2024</v>
      </c>
      <c r="G225" s="38" t="str">
        <f t="shared" si="28"/>
        <v>November</v>
      </c>
      <c r="H225" s="30">
        <v>53745</v>
      </c>
      <c r="I225" s="30">
        <v>4296</v>
      </c>
      <c r="J225" s="39">
        <v>787</v>
      </c>
      <c r="K225" s="39">
        <v>354</v>
      </c>
      <c r="L225" s="39">
        <v>145</v>
      </c>
      <c r="M225" s="40">
        <v>28330.69</v>
      </c>
      <c r="N225" s="40">
        <v>567612.72</v>
      </c>
      <c r="O225" s="33">
        <f t="shared" si="31"/>
        <v>7.99</v>
      </c>
      <c r="P225" s="34">
        <f t="shared" si="29"/>
        <v>35.9983354510801</v>
      </c>
      <c r="Q225" s="35">
        <f t="shared" si="30"/>
        <v>20.0352592894843</v>
      </c>
      <c r="R225" s="35">
        <f t="shared" si="24"/>
        <v>6.59466713221601</v>
      </c>
      <c r="S225" s="33">
        <f t="shared" si="25"/>
        <v>527.13</v>
      </c>
      <c r="T225" s="36">
        <f t="shared" si="26"/>
        <v>1903.53</v>
      </c>
    </row>
    <row r="226" spans="1:20">
      <c r="A226" s="28">
        <v>45633</v>
      </c>
      <c r="B226" s="29" t="s">
        <v>144</v>
      </c>
      <c r="C226" s="29" t="s">
        <v>145</v>
      </c>
      <c r="D226" s="29" t="s">
        <v>146</v>
      </c>
      <c r="E226" s="29" t="s">
        <v>1571</v>
      </c>
      <c r="F226" s="29">
        <f t="shared" si="27"/>
        <v>2024</v>
      </c>
      <c r="G226" s="29" t="str">
        <f t="shared" si="28"/>
        <v>December</v>
      </c>
      <c r="H226" s="30">
        <v>81985</v>
      </c>
      <c r="I226" s="30">
        <v>2676</v>
      </c>
      <c r="J226" s="31">
        <v>589</v>
      </c>
      <c r="K226" s="31">
        <v>334</v>
      </c>
      <c r="L226" s="31">
        <v>155</v>
      </c>
      <c r="M226" s="32">
        <v>39730.86</v>
      </c>
      <c r="N226" s="32">
        <v>1134386.5</v>
      </c>
      <c r="O226" s="33">
        <f t="shared" si="31"/>
        <v>3.26</v>
      </c>
      <c r="P226" s="34">
        <f t="shared" si="29"/>
        <v>67.4547707979627</v>
      </c>
      <c r="Q226" s="35">
        <f t="shared" si="30"/>
        <v>28.5517731053393</v>
      </c>
      <c r="R226" s="35">
        <f t="shared" si="24"/>
        <v>14.8471076233184</v>
      </c>
      <c r="S226" s="33">
        <f t="shared" si="25"/>
        <v>484.61</v>
      </c>
      <c r="T226" s="36">
        <f t="shared" si="26"/>
        <v>2755.18</v>
      </c>
    </row>
    <row r="227" spans="1:20">
      <c r="A227" s="37">
        <v>45486</v>
      </c>
      <c r="B227" s="38" t="s">
        <v>144</v>
      </c>
      <c r="C227" s="38" t="s">
        <v>145</v>
      </c>
      <c r="D227" s="38" t="s">
        <v>146</v>
      </c>
      <c r="E227" s="38" t="s">
        <v>1571</v>
      </c>
      <c r="F227" s="38">
        <f t="shared" si="27"/>
        <v>2024</v>
      </c>
      <c r="G227" s="38" t="str">
        <f t="shared" si="28"/>
        <v>July</v>
      </c>
      <c r="H227" s="30">
        <v>101535</v>
      </c>
      <c r="I227" s="30">
        <v>3234</v>
      </c>
      <c r="J227" s="39">
        <v>704</v>
      </c>
      <c r="K227" s="39">
        <v>418</v>
      </c>
      <c r="L227" s="39">
        <v>167</v>
      </c>
      <c r="M227" s="40">
        <v>49643.44</v>
      </c>
      <c r="N227" s="40">
        <v>538637.71</v>
      </c>
      <c r="O227" s="33">
        <f t="shared" si="31"/>
        <v>3.19</v>
      </c>
      <c r="P227" s="34">
        <f t="shared" si="29"/>
        <v>70.51625</v>
      </c>
      <c r="Q227" s="35">
        <f t="shared" si="30"/>
        <v>10.8501286373386</v>
      </c>
      <c r="R227" s="35">
        <f t="shared" si="24"/>
        <v>15.3504761904762</v>
      </c>
      <c r="S227" s="33">
        <f t="shared" si="25"/>
        <v>488.93</v>
      </c>
      <c r="T227" s="36">
        <f t="shared" si="26"/>
        <v>985.01</v>
      </c>
    </row>
    <row r="228" spans="1:20">
      <c r="A228" s="28">
        <v>45487</v>
      </c>
      <c r="B228" s="29" t="s">
        <v>144</v>
      </c>
      <c r="C228" s="29" t="s">
        <v>145</v>
      </c>
      <c r="D228" s="29" t="s">
        <v>146</v>
      </c>
      <c r="E228" s="29" t="s">
        <v>1571</v>
      </c>
      <c r="F228" s="29">
        <f t="shared" si="27"/>
        <v>2024</v>
      </c>
      <c r="G228" s="29" t="str">
        <f t="shared" si="28"/>
        <v>July</v>
      </c>
      <c r="H228" s="30">
        <v>56203</v>
      </c>
      <c r="I228" s="30">
        <v>3399</v>
      </c>
      <c r="J228" s="31">
        <v>526</v>
      </c>
      <c r="K228" s="31">
        <v>282</v>
      </c>
      <c r="L228" s="31">
        <v>124</v>
      </c>
      <c r="M228" s="32">
        <v>50748.12</v>
      </c>
      <c r="N228" s="32">
        <v>703721.34</v>
      </c>
      <c r="O228" s="33">
        <f t="shared" si="31"/>
        <v>6.05</v>
      </c>
      <c r="P228" s="34">
        <f t="shared" si="29"/>
        <v>96.4793155893536</v>
      </c>
      <c r="Q228" s="35">
        <f t="shared" si="30"/>
        <v>13.8669440365476</v>
      </c>
      <c r="R228" s="35">
        <f t="shared" si="24"/>
        <v>14.9303089143866</v>
      </c>
      <c r="S228" s="33">
        <f t="shared" si="25"/>
        <v>902.94</v>
      </c>
      <c r="T228" s="36">
        <f t="shared" si="26"/>
        <v>1286.69</v>
      </c>
    </row>
    <row r="229" spans="1:20">
      <c r="A229" s="37">
        <v>45488</v>
      </c>
      <c r="B229" s="38" t="s">
        <v>144</v>
      </c>
      <c r="C229" s="38" t="s">
        <v>145</v>
      </c>
      <c r="D229" s="38" t="s">
        <v>146</v>
      </c>
      <c r="E229" s="38" t="s">
        <v>1571</v>
      </c>
      <c r="F229" s="38">
        <f t="shared" si="27"/>
        <v>2024</v>
      </c>
      <c r="G229" s="38" t="str">
        <f t="shared" si="28"/>
        <v>July</v>
      </c>
      <c r="H229" s="30">
        <v>172571</v>
      </c>
      <c r="I229" s="30">
        <v>12649</v>
      </c>
      <c r="J229" s="39">
        <v>2920</v>
      </c>
      <c r="K229" s="39">
        <v>1512</v>
      </c>
      <c r="L229" s="39">
        <v>709</v>
      </c>
      <c r="M229" s="40">
        <v>144033.44</v>
      </c>
      <c r="N229" s="40">
        <v>4185547.5</v>
      </c>
      <c r="O229" s="33">
        <f t="shared" si="31"/>
        <v>7.33</v>
      </c>
      <c r="P229" s="34">
        <f t="shared" si="29"/>
        <v>49.3265205479452</v>
      </c>
      <c r="Q229" s="35">
        <f t="shared" si="30"/>
        <v>29.059553809171</v>
      </c>
      <c r="R229" s="35">
        <f t="shared" ref="R229:R292" si="32">(M229/I229)</f>
        <v>11.3869428413313</v>
      </c>
      <c r="S229" s="33">
        <f t="shared" si="25"/>
        <v>834.63</v>
      </c>
      <c r="T229" s="36">
        <f t="shared" si="26"/>
        <v>2805.96</v>
      </c>
    </row>
    <row r="230" spans="1:20">
      <c r="A230" s="28">
        <v>45489</v>
      </c>
      <c r="B230" s="29" t="s">
        <v>144</v>
      </c>
      <c r="C230" s="29" t="s">
        <v>145</v>
      </c>
      <c r="D230" s="29" t="s">
        <v>146</v>
      </c>
      <c r="E230" s="29" t="s">
        <v>1571</v>
      </c>
      <c r="F230" s="29">
        <f t="shared" si="27"/>
        <v>2024</v>
      </c>
      <c r="G230" s="29" t="str">
        <f t="shared" si="28"/>
        <v>July</v>
      </c>
      <c r="H230" s="30">
        <v>206620</v>
      </c>
      <c r="I230" s="30">
        <v>15320</v>
      </c>
      <c r="J230" s="31">
        <v>3284</v>
      </c>
      <c r="K230" s="31">
        <v>2077</v>
      </c>
      <c r="L230" s="31">
        <v>936</v>
      </c>
      <c r="M230" s="32">
        <v>107031.96</v>
      </c>
      <c r="N230" s="32">
        <v>4032427.25</v>
      </c>
      <c r="O230" s="33">
        <f t="shared" si="31"/>
        <v>7.41</v>
      </c>
      <c r="P230" s="34">
        <f t="shared" si="29"/>
        <v>32.5919488428745</v>
      </c>
      <c r="Q230" s="35">
        <f t="shared" si="30"/>
        <v>37.6749827808441</v>
      </c>
      <c r="R230" s="35">
        <f t="shared" si="32"/>
        <v>6.98642036553525</v>
      </c>
      <c r="S230" s="33">
        <f t="shared" si="25"/>
        <v>518.01</v>
      </c>
      <c r="T230" s="36">
        <f t="shared" si="26"/>
        <v>3667.5</v>
      </c>
    </row>
    <row r="231" spans="1:20">
      <c r="A231" s="37">
        <v>45490</v>
      </c>
      <c r="B231" s="38" t="s">
        <v>144</v>
      </c>
      <c r="C231" s="38" t="s">
        <v>145</v>
      </c>
      <c r="D231" s="38" t="s">
        <v>146</v>
      </c>
      <c r="E231" s="38" t="s">
        <v>1571</v>
      </c>
      <c r="F231" s="38">
        <f t="shared" si="27"/>
        <v>2024</v>
      </c>
      <c r="G231" s="38" t="str">
        <f t="shared" si="28"/>
        <v>July</v>
      </c>
      <c r="H231" s="30">
        <v>238579</v>
      </c>
      <c r="I231" s="30">
        <v>11277</v>
      </c>
      <c r="J231" s="39">
        <v>1997</v>
      </c>
      <c r="K231" s="39">
        <v>942</v>
      </c>
      <c r="L231" s="39">
        <v>481</v>
      </c>
      <c r="M231" s="40">
        <v>200472.94</v>
      </c>
      <c r="N231" s="40">
        <v>1996665.29</v>
      </c>
      <c r="O231" s="33">
        <f t="shared" si="31"/>
        <v>4.73</v>
      </c>
      <c r="P231" s="34">
        <f t="shared" si="29"/>
        <v>100.387050575864</v>
      </c>
      <c r="Q231" s="35">
        <f t="shared" si="30"/>
        <v>9.95977457107179</v>
      </c>
      <c r="R231" s="35">
        <f t="shared" si="32"/>
        <v>17.7771517247495</v>
      </c>
      <c r="S231" s="33">
        <f t="shared" si="25"/>
        <v>840.28</v>
      </c>
      <c r="T231" s="36">
        <f t="shared" si="26"/>
        <v>895.98</v>
      </c>
    </row>
    <row r="232" spans="1:20">
      <c r="A232" s="28">
        <v>45491</v>
      </c>
      <c r="B232" s="29" t="s">
        <v>144</v>
      </c>
      <c r="C232" s="29" t="s">
        <v>145</v>
      </c>
      <c r="D232" s="29" t="s">
        <v>146</v>
      </c>
      <c r="E232" s="29" t="s">
        <v>1571</v>
      </c>
      <c r="F232" s="29">
        <f t="shared" si="27"/>
        <v>2024</v>
      </c>
      <c r="G232" s="29" t="str">
        <f t="shared" si="28"/>
        <v>July</v>
      </c>
      <c r="H232" s="30">
        <v>299596</v>
      </c>
      <c r="I232" s="30">
        <v>13778</v>
      </c>
      <c r="J232" s="31">
        <v>2469</v>
      </c>
      <c r="K232" s="31">
        <v>1401</v>
      </c>
      <c r="L232" s="31">
        <v>803</v>
      </c>
      <c r="M232" s="32">
        <v>133225.18</v>
      </c>
      <c r="N232" s="32">
        <v>4364604.85</v>
      </c>
      <c r="O232" s="33">
        <f t="shared" si="31"/>
        <v>4.6</v>
      </c>
      <c r="P232" s="34">
        <f t="shared" si="29"/>
        <v>53.959165654111</v>
      </c>
      <c r="Q232" s="35">
        <f t="shared" si="30"/>
        <v>32.7611105498225</v>
      </c>
      <c r="R232" s="35">
        <f t="shared" si="32"/>
        <v>9.66941355784584</v>
      </c>
      <c r="S232" s="33">
        <f t="shared" si="25"/>
        <v>444.68</v>
      </c>
      <c r="T232" s="36">
        <f t="shared" si="26"/>
        <v>3176.11</v>
      </c>
    </row>
    <row r="233" spans="1:20">
      <c r="A233" s="37">
        <v>45492</v>
      </c>
      <c r="B233" s="38" t="s">
        <v>144</v>
      </c>
      <c r="C233" s="38" t="s">
        <v>145</v>
      </c>
      <c r="D233" s="38" t="s">
        <v>146</v>
      </c>
      <c r="E233" s="38" t="s">
        <v>1571</v>
      </c>
      <c r="F233" s="38">
        <f t="shared" si="27"/>
        <v>2024</v>
      </c>
      <c r="G233" s="38" t="str">
        <f t="shared" si="28"/>
        <v>July</v>
      </c>
      <c r="H233" s="30">
        <v>289584</v>
      </c>
      <c r="I233" s="30">
        <v>9928</v>
      </c>
      <c r="J233" s="39">
        <v>1754</v>
      </c>
      <c r="K233" s="39">
        <v>852</v>
      </c>
      <c r="L233" s="39">
        <v>495</v>
      </c>
      <c r="M233" s="40">
        <v>233553.6</v>
      </c>
      <c r="N233" s="40">
        <v>1607665.33</v>
      </c>
      <c r="O233" s="33">
        <f t="shared" si="31"/>
        <v>3.43</v>
      </c>
      <c r="P233" s="34">
        <f t="shared" si="29"/>
        <v>133.154846066135</v>
      </c>
      <c r="Q233" s="35">
        <f t="shared" si="30"/>
        <v>6.88349625096766</v>
      </c>
      <c r="R233" s="35">
        <f t="shared" si="32"/>
        <v>23.5247381144239</v>
      </c>
      <c r="S233" s="33">
        <f t="shared" ref="S233:S296" si="33">ROUND(M233/H233*1000,2)</f>
        <v>806.51</v>
      </c>
      <c r="T233" s="36">
        <f t="shared" si="26"/>
        <v>588.35</v>
      </c>
    </row>
    <row r="234" spans="1:20">
      <c r="A234" s="28">
        <v>45493</v>
      </c>
      <c r="B234" s="29" t="s">
        <v>144</v>
      </c>
      <c r="C234" s="29" t="s">
        <v>145</v>
      </c>
      <c r="D234" s="29" t="s">
        <v>146</v>
      </c>
      <c r="E234" s="29" t="s">
        <v>1571</v>
      </c>
      <c r="F234" s="29">
        <f t="shared" si="27"/>
        <v>2024</v>
      </c>
      <c r="G234" s="29" t="str">
        <f t="shared" si="28"/>
        <v>July</v>
      </c>
      <c r="H234" s="30">
        <v>272890</v>
      </c>
      <c r="I234" s="30">
        <v>10309</v>
      </c>
      <c r="J234" s="31">
        <v>2371</v>
      </c>
      <c r="K234" s="31">
        <v>1461</v>
      </c>
      <c r="L234" s="31">
        <v>865</v>
      </c>
      <c r="M234" s="32">
        <v>248690.64</v>
      </c>
      <c r="N234" s="32">
        <v>6675094.56</v>
      </c>
      <c r="O234" s="33">
        <f t="shared" si="31"/>
        <v>3.78</v>
      </c>
      <c r="P234" s="34">
        <f t="shared" si="29"/>
        <v>104.888502741459</v>
      </c>
      <c r="Q234" s="35">
        <f t="shared" si="30"/>
        <v>26.8409561373118</v>
      </c>
      <c r="R234" s="35">
        <f t="shared" si="32"/>
        <v>24.1236434183723</v>
      </c>
      <c r="S234" s="33">
        <f t="shared" si="33"/>
        <v>911.32</v>
      </c>
      <c r="T234" s="36">
        <f t="shared" si="26"/>
        <v>2584.1</v>
      </c>
    </row>
    <row r="235" spans="1:20">
      <c r="A235" s="37">
        <v>45494</v>
      </c>
      <c r="B235" s="38" t="s">
        <v>144</v>
      </c>
      <c r="C235" s="38" t="s">
        <v>145</v>
      </c>
      <c r="D235" s="38" t="s">
        <v>146</v>
      </c>
      <c r="E235" s="38" t="s">
        <v>1571</v>
      </c>
      <c r="F235" s="38">
        <f t="shared" si="27"/>
        <v>2024</v>
      </c>
      <c r="G235" s="38" t="str">
        <f t="shared" si="28"/>
        <v>July</v>
      </c>
      <c r="H235" s="30">
        <v>285905</v>
      </c>
      <c r="I235" s="30">
        <v>8585</v>
      </c>
      <c r="J235" s="39">
        <v>1949</v>
      </c>
      <c r="K235" s="39">
        <v>993</v>
      </c>
      <c r="L235" s="39">
        <v>582</v>
      </c>
      <c r="M235" s="40">
        <v>254211.76</v>
      </c>
      <c r="N235" s="40">
        <v>3218555.65</v>
      </c>
      <c r="O235" s="33">
        <f t="shared" si="31"/>
        <v>3</v>
      </c>
      <c r="P235" s="34">
        <f t="shared" si="29"/>
        <v>130.431893278604</v>
      </c>
      <c r="Q235" s="35">
        <f t="shared" si="30"/>
        <v>12.6609235151041</v>
      </c>
      <c r="R235" s="35">
        <f t="shared" si="32"/>
        <v>29.6111543389633</v>
      </c>
      <c r="S235" s="33">
        <f t="shared" si="33"/>
        <v>889.15</v>
      </c>
      <c r="T235" s="36">
        <f t="shared" si="26"/>
        <v>1166.09</v>
      </c>
    </row>
    <row r="236" spans="1:20">
      <c r="A236" s="28">
        <v>45495</v>
      </c>
      <c r="B236" s="29" t="s">
        <v>144</v>
      </c>
      <c r="C236" s="29" t="s">
        <v>145</v>
      </c>
      <c r="D236" s="29" t="s">
        <v>146</v>
      </c>
      <c r="E236" s="29" t="s">
        <v>1571</v>
      </c>
      <c r="F236" s="29">
        <f t="shared" si="27"/>
        <v>2024</v>
      </c>
      <c r="G236" s="29" t="str">
        <f t="shared" si="28"/>
        <v>July</v>
      </c>
      <c r="H236" s="30">
        <v>92579</v>
      </c>
      <c r="I236" s="30">
        <v>6825</v>
      </c>
      <c r="J236" s="31">
        <v>1236</v>
      </c>
      <c r="K236" s="31">
        <v>768</v>
      </c>
      <c r="L236" s="31">
        <v>372</v>
      </c>
      <c r="M236" s="32">
        <v>46340.62</v>
      </c>
      <c r="N236" s="32">
        <v>2501009.92</v>
      </c>
      <c r="O236" s="33">
        <f t="shared" si="31"/>
        <v>7.37</v>
      </c>
      <c r="P236" s="34">
        <f t="shared" si="29"/>
        <v>37.4924110032362</v>
      </c>
      <c r="Q236" s="35">
        <f t="shared" si="30"/>
        <v>53.9701436881941</v>
      </c>
      <c r="R236" s="35">
        <f t="shared" si="32"/>
        <v>6.78983443223443</v>
      </c>
      <c r="S236" s="33">
        <f t="shared" si="33"/>
        <v>500.55</v>
      </c>
      <c r="T236" s="36">
        <f t="shared" si="26"/>
        <v>5297.01</v>
      </c>
    </row>
    <row r="237" spans="1:20">
      <c r="A237" s="37">
        <v>45496</v>
      </c>
      <c r="B237" s="38" t="s">
        <v>144</v>
      </c>
      <c r="C237" s="38" t="s">
        <v>145</v>
      </c>
      <c r="D237" s="38" t="s">
        <v>146</v>
      </c>
      <c r="E237" s="38" t="s">
        <v>1571</v>
      </c>
      <c r="F237" s="38">
        <f t="shared" si="27"/>
        <v>2024</v>
      </c>
      <c r="G237" s="38" t="str">
        <f t="shared" si="28"/>
        <v>July</v>
      </c>
      <c r="H237" s="30">
        <v>262199</v>
      </c>
      <c r="I237" s="30">
        <v>20171</v>
      </c>
      <c r="J237" s="39">
        <v>3719</v>
      </c>
      <c r="K237" s="39">
        <v>2289</v>
      </c>
      <c r="L237" s="39">
        <v>1259</v>
      </c>
      <c r="M237" s="40">
        <v>108832.62</v>
      </c>
      <c r="N237" s="40">
        <v>8859616.13</v>
      </c>
      <c r="O237" s="33">
        <f t="shared" si="31"/>
        <v>7.69</v>
      </c>
      <c r="P237" s="34">
        <f t="shared" si="29"/>
        <v>29.2639472976607</v>
      </c>
      <c r="Q237" s="35">
        <f t="shared" si="30"/>
        <v>81.4058885102647</v>
      </c>
      <c r="R237" s="35">
        <f t="shared" si="32"/>
        <v>5.3954994794507</v>
      </c>
      <c r="S237" s="33">
        <f t="shared" si="33"/>
        <v>415.08</v>
      </c>
      <c r="T237" s="36">
        <f t="shared" si="26"/>
        <v>8040.59</v>
      </c>
    </row>
    <row r="238" spans="1:20">
      <c r="A238" s="28">
        <v>45497</v>
      </c>
      <c r="B238" s="29" t="s">
        <v>144</v>
      </c>
      <c r="C238" s="29" t="s">
        <v>145</v>
      </c>
      <c r="D238" s="29" t="s">
        <v>146</v>
      </c>
      <c r="E238" s="29" t="s">
        <v>1571</v>
      </c>
      <c r="F238" s="29">
        <f t="shared" si="27"/>
        <v>2024</v>
      </c>
      <c r="G238" s="29" t="str">
        <f t="shared" si="28"/>
        <v>July</v>
      </c>
      <c r="H238" s="30">
        <v>198212</v>
      </c>
      <c r="I238" s="30">
        <v>6874</v>
      </c>
      <c r="J238" s="31">
        <v>1415</v>
      </c>
      <c r="K238" s="31">
        <v>799</v>
      </c>
      <c r="L238" s="31">
        <v>462</v>
      </c>
      <c r="M238" s="32">
        <v>108824.3</v>
      </c>
      <c r="N238" s="32">
        <v>3333666.45</v>
      </c>
      <c r="O238" s="33">
        <f t="shared" si="31"/>
        <v>3.47</v>
      </c>
      <c r="P238" s="34">
        <f t="shared" si="29"/>
        <v>76.9076325088339</v>
      </c>
      <c r="Q238" s="35">
        <f t="shared" si="30"/>
        <v>30.633474784584</v>
      </c>
      <c r="R238" s="35">
        <f t="shared" si="32"/>
        <v>15.8312918242653</v>
      </c>
      <c r="S238" s="33">
        <f t="shared" si="33"/>
        <v>549.03</v>
      </c>
      <c r="T238" s="36">
        <f t="shared" ref="T238:T301" si="34">ROUND((N238-M238)/M238*100,2)</f>
        <v>2963.35</v>
      </c>
    </row>
    <row r="239" spans="1:20">
      <c r="A239" s="37">
        <v>45498</v>
      </c>
      <c r="B239" s="38" t="s">
        <v>144</v>
      </c>
      <c r="C239" s="38" t="s">
        <v>145</v>
      </c>
      <c r="D239" s="38" t="s">
        <v>146</v>
      </c>
      <c r="E239" s="38" t="s">
        <v>1571</v>
      </c>
      <c r="F239" s="38">
        <f t="shared" si="27"/>
        <v>2024</v>
      </c>
      <c r="G239" s="38" t="str">
        <f t="shared" si="28"/>
        <v>July</v>
      </c>
      <c r="H239" s="30">
        <v>118809</v>
      </c>
      <c r="I239" s="30">
        <v>7312</v>
      </c>
      <c r="J239" s="39">
        <v>1760</v>
      </c>
      <c r="K239" s="39">
        <v>995</v>
      </c>
      <c r="L239" s="39">
        <v>443</v>
      </c>
      <c r="M239" s="40">
        <v>100651.52</v>
      </c>
      <c r="N239" s="40">
        <v>2996388.37</v>
      </c>
      <c r="O239" s="33">
        <f t="shared" si="31"/>
        <v>6.15</v>
      </c>
      <c r="P239" s="34">
        <f t="shared" si="29"/>
        <v>57.1883636363636</v>
      </c>
      <c r="Q239" s="35">
        <f t="shared" si="30"/>
        <v>29.7699266737353</v>
      </c>
      <c r="R239" s="35">
        <f t="shared" si="32"/>
        <v>13.7652516411379</v>
      </c>
      <c r="S239" s="33">
        <f t="shared" si="33"/>
        <v>847.17</v>
      </c>
      <c r="T239" s="36">
        <f t="shared" si="34"/>
        <v>2876.99</v>
      </c>
    </row>
    <row r="240" spans="1:20">
      <c r="A240" s="28">
        <v>45499</v>
      </c>
      <c r="B240" s="29" t="s">
        <v>144</v>
      </c>
      <c r="C240" s="29" t="s">
        <v>145</v>
      </c>
      <c r="D240" s="29" t="s">
        <v>146</v>
      </c>
      <c r="E240" s="29" t="s">
        <v>1571</v>
      </c>
      <c r="F240" s="29">
        <f t="shared" si="27"/>
        <v>2024</v>
      </c>
      <c r="G240" s="29" t="str">
        <f t="shared" si="28"/>
        <v>July</v>
      </c>
      <c r="H240" s="30">
        <v>182889</v>
      </c>
      <c r="I240" s="30">
        <v>5572</v>
      </c>
      <c r="J240" s="31">
        <v>878</v>
      </c>
      <c r="K240" s="31">
        <v>401</v>
      </c>
      <c r="L240" s="31">
        <v>226</v>
      </c>
      <c r="M240" s="32">
        <v>93158.25</v>
      </c>
      <c r="N240" s="32">
        <v>1525793.32</v>
      </c>
      <c r="O240" s="33">
        <f t="shared" si="31"/>
        <v>3.05</v>
      </c>
      <c r="P240" s="34">
        <f t="shared" si="29"/>
        <v>106.102790432802</v>
      </c>
      <c r="Q240" s="35">
        <f t="shared" si="30"/>
        <v>16.3785099011628</v>
      </c>
      <c r="R240" s="35">
        <f t="shared" si="32"/>
        <v>16.7189967695621</v>
      </c>
      <c r="S240" s="33">
        <f t="shared" si="33"/>
        <v>509.37</v>
      </c>
      <c r="T240" s="36">
        <f t="shared" si="34"/>
        <v>1537.85</v>
      </c>
    </row>
    <row r="241" spans="1:20">
      <c r="A241" s="37">
        <v>45500</v>
      </c>
      <c r="B241" s="38" t="s">
        <v>144</v>
      </c>
      <c r="C241" s="38" t="s">
        <v>145</v>
      </c>
      <c r="D241" s="38" t="s">
        <v>146</v>
      </c>
      <c r="E241" s="38" t="s">
        <v>1571</v>
      </c>
      <c r="F241" s="38">
        <f t="shared" si="27"/>
        <v>2024</v>
      </c>
      <c r="G241" s="38" t="str">
        <f t="shared" si="28"/>
        <v>July</v>
      </c>
      <c r="H241" s="30">
        <v>85016</v>
      </c>
      <c r="I241" s="30">
        <v>3976</v>
      </c>
      <c r="J241" s="39">
        <v>731</v>
      </c>
      <c r="K241" s="39">
        <v>365</v>
      </c>
      <c r="L241" s="39">
        <v>182</v>
      </c>
      <c r="M241" s="40">
        <v>39557.93</v>
      </c>
      <c r="N241" s="40">
        <v>1358545.74</v>
      </c>
      <c r="O241" s="33">
        <f t="shared" si="31"/>
        <v>4.68</v>
      </c>
      <c r="P241" s="34">
        <f t="shared" si="29"/>
        <v>54.1148153214774</v>
      </c>
      <c r="Q241" s="35">
        <f t="shared" si="30"/>
        <v>34.3431959154587</v>
      </c>
      <c r="R241" s="35">
        <f t="shared" si="32"/>
        <v>9.94917756539235</v>
      </c>
      <c r="S241" s="33">
        <f t="shared" si="33"/>
        <v>465.3</v>
      </c>
      <c r="T241" s="36">
        <f t="shared" si="34"/>
        <v>3334.32</v>
      </c>
    </row>
    <row r="242" spans="1:20">
      <c r="A242" s="28">
        <v>45501</v>
      </c>
      <c r="B242" s="29" t="s">
        <v>144</v>
      </c>
      <c r="C242" s="29" t="s">
        <v>145</v>
      </c>
      <c r="D242" s="29" t="s">
        <v>146</v>
      </c>
      <c r="E242" s="29" t="s">
        <v>1571</v>
      </c>
      <c r="F242" s="29">
        <f t="shared" si="27"/>
        <v>2024</v>
      </c>
      <c r="G242" s="29" t="str">
        <f t="shared" si="28"/>
        <v>July</v>
      </c>
      <c r="H242" s="30">
        <v>136206</v>
      </c>
      <c r="I242" s="30">
        <v>8419</v>
      </c>
      <c r="J242" s="31">
        <v>2017</v>
      </c>
      <c r="K242" s="31">
        <v>1200</v>
      </c>
      <c r="L242" s="31">
        <v>719</v>
      </c>
      <c r="M242" s="32">
        <v>66697.45</v>
      </c>
      <c r="N242" s="32">
        <v>3914237</v>
      </c>
      <c r="O242" s="33">
        <f t="shared" si="31"/>
        <v>6.18</v>
      </c>
      <c r="P242" s="34">
        <f t="shared" si="29"/>
        <v>33.0676499752107</v>
      </c>
      <c r="Q242" s="35">
        <f t="shared" si="30"/>
        <v>58.6864565286979</v>
      </c>
      <c r="R242" s="35">
        <f t="shared" si="32"/>
        <v>7.92225323672645</v>
      </c>
      <c r="S242" s="33">
        <f t="shared" si="33"/>
        <v>489.68</v>
      </c>
      <c r="T242" s="36">
        <f t="shared" si="34"/>
        <v>5768.65</v>
      </c>
    </row>
    <row r="243" spans="1:20">
      <c r="A243" s="37">
        <v>45502</v>
      </c>
      <c r="B243" s="38" t="s">
        <v>144</v>
      </c>
      <c r="C243" s="38" t="s">
        <v>145</v>
      </c>
      <c r="D243" s="38" t="s">
        <v>146</v>
      </c>
      <c r="E243" s="38" t="s">
        <v>1571</v>
      </c>
      <c r="F243" s="38">
        <f t="shared" si="27"/>
        <v>2024</v>
      </c>
      <c r="G243" s="38" t="str">
        <f t="shared" si="28"/>
        <v>July</v>
      </c>
      <c r="H243" s="30">
        <v>165347</v>
      </c>
      <c r="I243" s="30">
        <v>11046</v>
      </c>
      <c r="J243" s="39">
        <v>2068</v>
      </c>
      <c r="K243" s="39">
        <v>1143</v>
      </c>
      <c r="L243" s="39">
        <v>503</v>
      </c>
      <c r="M243" s="40">
        <v>143383.04</v>
      </c>
      <c r="N243" s="40">
        <v>1991695.9</v>
      </c>
      <c r="O243" s="33">
        <f t="shared" si="31"/>
        <v>6.68</v>
      </c>
      <c r="P243" s="34">
        <f t="shared" si="29"/>
        <v>69.3341586073501</v>
      </c>
      <c r="Q243" s="35">
        <f t="shared" si="30"/>
        <v>13.8907356128033</v>
      </c>
      <c r="R243" s="35">
        <f t="shared" si="32"/>
        <v>12.9805395618323</v>
      </c>
      <c r="S243" s="33">
        <f t="shared" si="33"/>
        <v>867.16</v>
      </c>
      <c r="T243" s="36">
        <f t="shared" si="34"/>
        <v>1289.07</v>
      </c>
    </row>
    <row r="244" spans="1:20">
      <c r="A244" s="28">
        <v>45503</v>
      </c>
      <c r="B244" s="29" t="s">
        <v>144</v>
      </c>
      <c r="C244" s="29" t="s">
        <v>145</v>
      </c>
      <c r="D244" s="29" t="s">
        <v>146</v>
      </c>
      <c r="E244" s="29" t="s">
        <v>1571</v>
      </c>
      <c r="F244" s="29">
        <f t="shared" si="27"/>
        <v>2024</v>
      </c>
      <c r="G244" s="29" t="str">
        <f t="shared" si="28"/>
        <v>July</v>
      </c>
      <c r="H244" s="30">
        <v>293930</v>
      </c>
      <c r="I244" s="30">
        <v>12917</v>
      </c>
      <c r="J244" s="31">
        <v>3074</v>
      </c>
      <c r="K244" s="31">
        <v>1552</v>
      </c>
      <c r="L244" s="31">
        <v>860</v>
      </c>
      <c r="M244" s="32">
        <v>135737.98</v>
      </c>
      <c r="N244" s="32">
        <v>4957159.97</v>
      </c>
      <c r="O244" s="33">
        <f t="shared" si="31"/>
        <v>4.39</v>
      </c>
      <c r="P244" s="34">
        <f t="shared" si="29"/>
        <v>44.1567924528302</v>
      </c>
      <c r="Q244" s="35">
        <f t="shared" si="30"/>
        <v>36.5200658651322</v>
      </c>
      <c r="R244" s="35">
        <f t="shared" si="32"/>
        <v>10.5084756522412</v>
      </c>
      <c r="S244" s="33">
        <f t="shared" si="33"/>
        <v>461.8</v>
      </c>
      <c r="T244" s="36">
        <f t="shared" si="34"/>
        <v>3552.01</v>
      </c>
    </row>
    <row r="245" spans="1:20">
      <c r="A245" s="37">
        <v>45504</v>
      </c>
      <c r="B245" s="38" t="s">
        <v>144</v>
      </c>
      <c r="C245" s="38" t="s">
        <v>145</v>
      </c>
      <c r="D245" s="38" t="s">
        <v>146</v>
      </c>
      <c r="E245" s="38" t="s">
        <v>1571</v>
      </c>
      <c r="F245" s="38">
        <f t="shared" si="27"/>
        <v>2024</v>
      </c>
      <c r="G245" s="38" t="str">
        <f t="shared" si="28"/>
        <v>July</v>
      </c>
      <c r="H245" s="30">
        <v>143598</v>
      </c>
      <c r="I245" s="30">
        <v>9751</v>
      </c>
      <c r="J245" s="39">
        <v>1930</v>
      </c>
      <c r="K245" s="39">
        <v>965</v>
      </c>
      <c r="L245" s="39">
        <v>442</v>
      </c>
      <c r="M245" s="40">
        <v>121893.19</v>
      </c>
      <c r="N245" s="40">
        <v>1449676.75</v>
      </c>
      <c r="O245" s="33">
        <f t="shared" si="31"/>
        <v>6.79</v>
      </c>
      <c r="P245" s="34">
        <f t="shared" si="29"/>
        <v>63.1570932642487</v>
      </c>
      <c r="Q245" s="35">
        <f t="shared" si="30"/>
        <v>11.8930085429711</v>
      </c>
      <c r="R245" s="35">
        <f t="shared" si="32"/>
        <v>12.5005835298944</v>
      </c>
      <c r="S245" s="33">
        <f t="shared" si="33"/>
        <v>848.85</v>
      </c>
      <c r="T245" s="36">
        <f t="shared" si="34"/>
        <v>1089.3</v>
      </c>
    </row>
    <row r="246" spans="1:20">
      <c r="A246" s="28">
        <v>45299</v>
      </c>
      <c r="B246" s="29" t="s">
        <v>144</v>
      </c>
      <c r="C246" s="29" t="s">
        <v>145</v>
      </c>
      <c r="D246" s="29" t="s">
        <v>146</v>
      </c>
      <c r="E246" s="29" t="s">
        <v>1571</v>
      </c>
      <c r="F246" s="29">
        <f t="shared" si="27"/>
        <v>2024</v>
      </c>
      <c r="G246" s="29" t="str">
        <f t="shared" si="28"/>
        <v>January</v>
      </c>
      <c r="H246" s="30">
        <v>54410</v>
      </c>
      <c r="I246" s="30">
        <v>4309</v>
      </c>
      <c r="J246" s="31">
        <v>693</v>
      </c>
      <c r="K246" s="31">
        <v>357</v>
      </c>
      <c r="L246" s="31">
        <v>191</v>
      </c>
      <c r="M246" s="32">
        <v>48121.46</v>
      </c>
      <c r="N246" s="32">
        <v>1063428.31</v>
      </c>
      <c r="O246" s="33">
        <f t="shared" si="31"/>
        <v>7.92</v>
      </c>
      <c r="P246" s="34">
        <f t="shared" si="29"/>
        <v>69.4393362193362</v>
      </c>
      <c r="Q246" s="35">
        <f t="shared" si="30"/>
        <v>22.0988371923878</v>
      </c>
      <c r="R246" s="35">
        <f t="shared" si="32"/>
        <v>11.1676630308656</v>
      </c>
      <c r="S246" s="33">
        <f t="shared" si="33"/>
        <v>884.42</v>
      </c>
      <c r="T246" s="36">
        <f t="shared" si="34"/>
        <v>2109.88</v>
      </c>
    </row>
    <row r="247" spans="1:20">
      <c r="A247" s="37">
        <v>45299</v>
      </c>
      <c r="B247" s="38" t="s">
        <v>516</v>
      </c>
      <c r="C247" s="38" t="s">
        <v>517</v>
      </c>
      <c r="D247" s="38" t="s">
        <v>518</v>
      </c>
      <c r="E247" s="38" t="s">
        <v>1572</v>
      </c>
      <c r="F247" s="38">
        <f t="shared" si="27"/>
        <v>2024</v>
      </c>
      <c r="G247" s="38" t="str">
        <f t="shared" si="28"/>
        <v>January</v>
      </c>
      <c r="H247" s="30">
        <v>100600</v>
      </c>
      <c r="I247" s="30">
        <v>4426</v>
      </c>
      <c r="J247" s="39">
        <v>1006</v>
      </c>
      <c r="K247" s="39">
        <v>578</v>
      </c>
      <c r="L247" s="39">
        <v>315</v>
      </c>
      <c r="M247" s="40">
        <v>88124.93</v>
      </c>
      <c r="N247" s="40">
        <v>2363533.5</v>
      </c>
      <c r="O247" s="33">
        <f t="shared" si="31"/>
        <v>4.4</v>
      </c>
      <c r="P247" s="34">
        <f t="shared" si="29"/>
        <v>87.5993339960238</v>
      </c>
      <c r="Q247" s="35">
        <f t="shared" si="30"/>
        <v>26.8202596019083</v>
      </c>
      <c r="R247" s="35">
        <f t="shared" si="32"/>
        <v>19.9107388160868</v>
      </c>
      <c r="S247" s="33">
        <f t="shared" si="33"/>
        <v>875.99</v>
      </c>
      <c r="T247" s="36">
        <f t="shared" si="34"/>
        <v>2582.03</v>
      </c>
    </row>
    <row r="248" spans="1:20">
      <c r="A248" s="28">
        <v>45330</v>
      </c>
      <c r="B248" s="29" t="s">
        <v>144</v>
      </c>
      <c r="C248" s="29" t="s">
        <v>145</v>
      </c>
      <c r="D248" s="29" t="s">
        <v>146</v>
      </c>
      <c r="E248" s="29" t="s">
        <v>1571</v>
      </c>
      <c r="F248" s="29">
        <f t="shared" si="27"/>
        <v>2024</v>
      </c>
      <c r="G248" s="29" t="str">
        <f t="shared" si="28"/>
        <v>February</v>
      </c>
      <c r="H248" s="30">
        <v>132675</v>
      </c>
      <c r="I248" s="30">
        <v>10342</v>
      </c>
      <c r="J248" s="31">
        <v>1904</v>
      </c>
      <c r="K248" s="31">
        <v>862</v>
      </c>
      <c r="L248" s="31">
        <v>374</v>
      </c>
      <c r="M248" s="32">
        <v>113475.65</v>
      </c>
      <c r="N248" s="32">
        <v>1926663.81</v>
      </c>
      <c r="O248" s="33">
        <f t="shared" si="31"/>
        <v>7.79</v>
      </c>
      <c r="P248" s="34">
        <f t="shared" si="29"/>
        <v>59.5985556722689</v>
      </c>
      <c r="Q248" s="35">
        <f t="shared" si="30"/>
        <v>16.978654098919</v>
      </c>
      <c r="R248" s="35">
        <f t="shared" si="32"/>
        <v>10.9723119319281</v>
      </c>
      <c r="S248" s="33">
        <f t="shared" si="33"/>
        <v>855.29</v>
      </c>
      <c r="T248" s="36">
        <f t="shared" si="34"/>
        <v>1597.87</v>
      </c>
    </row>
    <row r="249" spans="1:20">
      <c r="A249" s="37">
        <v>45330</v>
      </c>
      <c r="B249" s="38" t="s">
        <v>516</v>
      </c>
      <c r="C249" s="38" t="s">
        <v>517</v>
      </c>
      <c r="D249" s="38" t="s">
        <v>518</v>
      </c>
      <c r="E249" s="38" t="s">
        <v>1571</v>
      </c>
      <c r="F249" s="38">
        <f t="shared" si="27"/>
        <v>2024</v>
      </c>
      <c r="G249" s="38" t="str">
        <f t="shared" si="28"/>
        <v>February</v>
      </c>
      <c r="H249" s="30">
        <v>120721</v>
      </c>
      <c r="I249" s="30">
        <v>9109</v>
      </c>
      <c r="J249" s="39">
        <v>1747</v>
      </c>
      <c r="K249" s="39">
        <v>1023</v>
      </c>
      <c r="L249" s="39">
        <v>521</v>
      </c>
      <c r="M249" s="40">
        <v>75049.88</v>
      </c>
      <c r="N249" s="40">
        <v>2509324.06</v>
      </c>
      <c r="O249" s="33">
        <f t="shared" si="31"/>
        <v>7.55</v>
      </c>
      <c r="P249" s="34">
        <f t="shared" si="29"/>
        <v>42.9592902117916</v>
      </c>
      <c r="Q249" s="35">
        <f t="shared" si="30"/>
        <v>33.4354173517666</v>
      </c>
      <c r="R249" s="35">
        <f t="shared" si="32"/>
        <v>8.2390910088923</v>
      </c>
      <c r="S249" s="33">
        <f t="shared" si="33"/>
        <v>621.68</v>
      </c>
      <c r="T249" s="36">
        <f t="shared" si="34"/>
        <v>3243.54</v>
      </c>
    </row>
    <row r="250" spans="1:20">
      <c r="A250" s="28">
        <v>45359</v>
      </c>
      <c r="B250" s="29" t="s">
        <v>144</v>
      </c>
      <c r="C250" s="29" t="s">
        <v>145</v>
      </c>
      <c r="D250" s="29" t="s">
        <v>146</v>
      </c>
      <c r="E250" s="29" t="s">
        <v>1571</v>
      </c>
      <c r="F250" s="29">
        <f t="shared" si="27"/>
        <v>2024</v>
      </c>
      <c r="G250" s="29" t="str">
        <f t="shared" si="28"/>
        <v>March</v>
      </c>
      <c r="H250" s="30">
        <v>200741</v>
      </c>
      <c r="I250" s="30">
        <v>11692</v>
      </c>
      <c r="J250" s="31">
        <v>2445</v>
      </c>
      <c r="K250" s="31">
        <v>1190</v>
      </c>
      <c r="L250" s="31">
        <v>664</v>
      </c>
      <c r="M250" s="32">
        <v>136500.62</v>
      </c>
      <c r="N250" s="32">
        <v>3345576.76</v>
      </c>
      <c r="O250" s="33">
        <f t="shared" si="31"/>
        <v>5.82</v>
      </c>
      <c r="P250" s="34">
        <f t="shared" si="29"/>
        <v>55.8284744376278</v>
      </c>
      <c r="Q250" s="35">
        <f t="shared" si="30"/>
        <v>24.5096085277854</v>
      </c>
      <c r="R250" s="35">
        <f t="shared" si="32"/>
        <v>11.6747023605884</v>
      </c>
      <c r="S250" s="33">
        <f t="shared" si="33"/>
        <v>679.98</v>
      </c>
      <c r="T250" s="36">
        <f t="shared" si="34"/>
        <v>2350.96</v>
      </c>
    </row>
    <row r="251" spans="1:20">
      <c r="A251" s="37">
        <v>45359</v>
      </c>
      <c r="B251" s="38" t="s">
        <v>516</v>
      </c>
      <c r="C251" s="38" t="s">
        <v>517</v>
      </c>
      <c r="D251" s="38" t="s">
        <v>518</v>
      </c>
      <c r="E251" s="38" t="s">
        <v>1571</v>
      </c>
      <c r="F251" s="38">
        <f t="shared" si="27"/>
        <v>2024</v>
      </c>
      <c r="G251" s="38" t="str">
        <f t="shared" si="28"/>
        <v>March</v>
      </c>
      <c r="H251" s="30">
        <v>208142</v>
      </c>
      <c r="I251" s="30">
        <v>16098</v>
      </c>
      <c r="J251" s="39">
        <v>3655</v>
      </c>
      <c r="K251" s="39">
        <v>2210</v>
      </c>
      <c r="L251" s="39">
        <v>1252</v>
      </c>
      <c r="M251" s="40">
        <v>141729.43</v>
      </c>
      <c r="N251" s="40">
        <v>7709099.55</v>
      </c>
      <c r="O251" s="33">
        <f t="shared" si="31"/>
        <v>7.73</v>
      </c>
      <c r="P251" s="34">
        <f t="shared" si="29"/>
        <v>38.7768618331053</v>
      </c>
      <c r="Q251" s="35">
        <f t="shared" si="30"/>
        <v>54.3930752420298</v>
      </c>
      <c r="R251" s="35">
        <f t="shared" si="32"/>
        <v>8.80416387128836</v>
      </c>
      <c r="S251" s="33">
        <f t="shared" si="33"/>
        <v>680.93</v>
      </c>
      <c r="T251" s="36">
        <f t="shared" si="34"/>
        <v>5339.31</v>
      </c>
    </row>
    <row r="252" spans="1:20">
      <c r="A252" s="28">
        <v>45390</v>
      </c>
      <c r="B252" s="29" t="s">
        <v>144</v>
      </c>
      <c r="C252" s="29" t="s">
        <v>145</v>
      </c>
      <c r="D252" s="29" t="s">
        <v>146</v>
      </c>
      <c r="E252" s="29" t="s">
        <v>1571</v>
      </c>
      <c r="F252" s="29">
        <f t="shared" si="27"/>
        <v>2024</v>
      </c>
      <c r="G252" s="29" t="str">
        <f t="shared" si="28"/>
        <v>April</v>
      </c>
      <c r="H252" s="30">
        <v>62326</v>
      </c>
      <c r="I252" s="30">
        <v>2288</v>
      </c>
      <c r="J252" s="31">
        <v>416</v>
      </c>
      <c r="K252" s="31">
        <v>208</v>
      </c>
      <c r="L252" s="31">
        <v>97</v>
      </c>
      <c r="M252" s="32">
        <v>53808.35</v>
      </c>
      <c r="N252" s="32">
        <v>514275.89</v>
      </c>
      <c r="O252" s="33">
        <f t="shared" si="31"/>
        <v>3.67</v>
      </c>
      <c r="P252" s="34">
        <f t="shared" si="29"/>
        <v>129.346995192308</v>
      </c>
      <c r="Q252" s="35">
        <f t="shared" si="30"/>
        <v>9.55754803854792</v>
      </c>
      <c r="R252" s="35">
        <f t="shared" si="32"/>
        <v>23.5176354895105</v>
      </c>
      <c r="S252" s="33">
        <f t="shared" si="33"/>
        <v>863.34</v>
      </c>
      <c r="T252" s="36">
        <f t="shared" si="34"/>
        <v>855.75</v>
      </c>
    </row>
    <row r="253" spans="1:20">
      <c r="A253" s="37">
        <v>45390</v>
      </c>
      <c r="B253" s="38" t="s">
        <v>516</v>
      </c>
      <c r="C253" s="38" t="s">
        <v>517</v>
      </c>
      <c r="D253" s="38" t="s">
        <v>518</v>
      </c>
      <c r="E253" s="38" t="s">
        <v>1572</v>
      </c>
      <c r="F253" s="38">
        <f t="shared" si="27"/>
        <v>2024</v>
      </c>
      <c r="G253" s="38" t="str">
        <f t="shared" si="28"/>
        <v>April</v>
      </c>
      <c r="H253" s="30">
        <v>60178</v>
      </c>
      <c r="I253" s="30">
        <v>3164</v>
      </c>
      <c r="J253" s="39">
        <v>594</v>
      </c>
      <c r="K253" s="39">
        <v>300</v>
      </c>
      <c r="L253" s="39">
        <v>141</v>
      </c>
      <c r="M253" s="40">
        <v>36780.38</v>
      </c>
      <c r="N253" s="40">
        <v>638055.97</v>
      </c>
      <c r="O253" s="33">
        <f t="shared" si="31"/>
        <v>5.26</v>
      </c>
      <c r="P253" s="34">
        <f t="shared" si="29"/>
        <v>61.9198316498316</v>
      </c>
      <c r="Q253" s="35">
        <f t="shared" si="30"/>
        <v>17.3477264237074</v>
      </c>
      <c r="R253" s="35">
        <f t="shared" si="32"/>
        <v>11.6246460176991</v>
      </c>
      <c r="S253" s="33">
        <f t="shared" si="33"/>
        <v>611.19</v>
      </c>
      <c r="T253" s="36">
        <f t="shared" si="34"/>
        <v>1634.77</v>
      </c>
    </row>
    <row r="254" spans="1:20">
      <c r="A254" s="28">
        <v>45420</v>
      </c>
      <c r="B254" s="29" t="s">
        <v>144</v>
      </c>
      <c r="C254" s="29" t="s">
        <v>145</v>
      </c>
      <c r="D254" s="29" t="s">
        <v>146</v>
      </c>
      <c r="E254" s="29" t="s">
        <v>1571</v>
      </c>
      <c r="F254" s="29">
        <f t="shared" si="27"/>
        <v>2024</v>
      </c>
      <c r="G254" s="29" t="str">
        <f t="shared" si="28"/>
        <v>May</v>
      </c>
      <c r="H254" s="30">
        <v>105561</v>
      </c>
      <c r="I254" s="30">
        <v>6091</v>
      </c>
      <c r="J254" s="31">
        <v>1210</v>
      </c>
      <c r="K254" s="31">
        <v>657</v>
      </c>
      <c r="L254" s="31">
        <v>361</v>
      </c>
      <c r="M254" s="32">
        <v>58132.88</v>
      </c>
      <c r="N254" s="32">
        <v>1085319.27</v>
      </c>
      <c r="O254" s="33">
        <f t="shared" si="31"/>
        <v>5.77</v>
      </c>
      <c r="P254" s="34">
        <f t="shared" si="29"/>
        <v>48.0437024793388</v>
      </c>
      <c r="Q254" s="35">
        <f t="shared" si="30"/>
        <v>18.6696284443503</v>
      </c>
      <c r="R254" s="35">
        <f t="shared" si="32"/>
        <v>9.54406173042193</v>
      </c>
      <c r="S254" s="33">
        <f t="shared" si="33"/>
        <v>550.7</v>
      </c>
      <c r="T254" s="36">
        <f t="shared" si="34"/>
        <v>1766.96</v>
      </c>
    </row>
    <row r="255" spans="1:20">
      <c r="A255" s="37">
        <v>45420</v>
      </c>
      <c r="B255" s="38" t="s">
        <v>516</v>
      </c>
      <c r="C255" s="38" t="s">
        <v>517</v>
      </c>
      <c r="D255" s="38" t="s">
        <v>518</v>
      </c>
      <c r="E255" s="38" t="s">
        <v>1571</v>
      </c>
      <c r="F255" s="38">
        <f t="shared" si="27"/>
        <v>2024</v>
      </c>
      <c r="G255" s="38" t="str">
        <f t="shared" si="28"/>
        <v>May</v>
      </c>
      <c r="H255" s="30">
        <v>108128</v>
      </c>
      <c r="I255" s="30">
        <v>4562</v>
      </c>
      <c r="J255" s="39">
        <v>1033</v>
      </c>
      <c r="K255" s="39">
        <v>586</v>
      </c>
      <c r="L255" s="39">
        <v>260</v>
      </c>
      <c r="M255" s="40">
        <v>58193.29</v>
      </c>
      <c r="N255" s="40">
        <v>1634560.79</v>
      </c>
      <c r="O255" s="33">
        <f t="shared" si="31"/>
        <v>4.22</v>
      </c>
      <c r="P255" s="34">
        <f t="shared" si="29"/>
        <v>56.3342594385286</v>
      </c>
      <c r="Q255" s="35">
        <f t="shared" si="30"/>
        <v>28.0884753207801</v>
      </c>
      <c r="R255" s="35">
        <f t="shared" si="32"/>
        <v>12.7560916264796</v>
      </c>
      <c r="S255" s="33">
        <f t="shared" si="33"/>
        <v>538.19</v>
      </c>
      <c r="T255" s="36">
        <f t="shared" si="34"/>
        <v>2708.85</v>
      </c>
    </row>
    <row r="256" spans="1:20">
      <c r="A256" s="28">
        <v>45451</v>
      </c>
      <c r="B256" s="29" t="s">
        <v>144</v>
      </c>
      <c r="C256" s="29" t="s">
        <v>145</v>
      </c>
      <c r="D256" s="29" t="s">
        <v>146</v>
      </c>
      <c r="E256" s="29" t="s">
        <v>1571</v>
      </c>
      <c r="F256" s="29">
        <f t="shared" si="27"/>
        <v>2024</v>
      </c>
      <c r="G256" s="29" t="str">
        <f t="shared" si="28"/>
        <v>June</v>
      </c>
      <c r="H256" s="30">
        <v>96715</v>
      </c>
      <c r="I256" s="30">
        <v>4883</v>
      </c>
      <c r="J256" s="31">
        <v>1120</v>
      </c>
      <c r="K256" s="31">
        <v>538</v>
      </c>
      <c r="L256" s="31">
        <v>232</v>
      </c>
      <c r="M256" s="32">
        <v>43537.41</v>
      </c>
      <c r="N256" s="32">
        <v>1813996.79</v>
      </c>
      <c r="O256" s="33">
        <f t="shared" si="31"/>
        <v>5.05</v>
      </c>
      <c r="P256" s="34">
        <f t="shared" si="29"/>
        <v>38.8726875</v>
      </c>
      <c r="Q256" s="35">
        <f t="shared" si="30"/>
        <v>41.6652435227543</v>
      </c>
      <c r="R256" s="35">
        <f t="shared" si="32"/>
        <v>8.91611918902314</v>
      </c>
      <c r="S256" s="33">
        <f t="shared" si="33"/>
        <v>450.16</v>
      </c>
      <c r="T256" s="36">
        <f t="shared" si="34"/>
        <v>4066.52</v>
      </c>
    </row>
    <row r="257" spans="1:20">
      <c r="A257" s="37">
        <v>45451</v>
      </c>
      <c r="B257" s="38" t="s">
        <v>516</v>
      </c>
      <c r="C257" s="38" t="s">
        <v>517</v>
      </c>
      <c r="D257" s="38" t="s">
        <v>518</v>
      </c>
      <c r="E257" s="38" t="s">
        <v>1573</v>
      </c>
      <c r="F257" s="38">
        <f t="shared" si="27"/>
        <v>2024</v>
      </c>
      <c r="G257" s="38" t="str">
        <f t="shared" si="28"/>
        <v>June</v>
      </c>
      <c r="H257" s="30">
        <v>99786</v>
      </c>
      <c r="I257" s="30">
        <v>4538</v>
      </c>
      <c r="J257" s="39">
        <v>843</v>
      </c>
      <c r="K257" s="39">
        <v>475</v>
      </c>
      <c r="L257" s="39">
        <v>270</v>
      </c>
      <c r="M257" s="40">
        <v>86472.87</v>
      </c>
      <c r="N257" s="40">
        <v>1992669.9</v>
      </c>
      <c r="O257" s="33">
        <f t="shared" si="31"/>
        <v>4.55</v>
      </c>
      <c r="P257" s="34">
        <f t="shared" si="29"/>
        <v>102.577544483986</v>
      </c>
      <c r="Q257" s="35">
        <f t="shared" si="30"/>
        <v>23.0438737606373</v>
      </c>
      <c r="R257" s="35">
        <f t="shared" si="32"/>
        <v>19.0552820625826</v>
      </c>
      <c r="S257" s="33">
        <f t="shared" si="33"/>
        <v>866.58</v>
      </c>
      <c r="T257" s="36">
        <f t="shared" si="34"/>
        <v>2204.39</v>
      </c>
    </row>
    <row r="258" spans="1:20">
      <c r="A258" s="28">
        <v>45481</v>
      </c>
      <c r="B258" s="29" t="s">
        <v>144</v>
      </c>
      <c r="C258" s="29" t="s">
        <v>145</v>
      </c>
      <c r="D258" s="29" t="s">
        <v>146</v>
      </c>
      <c r="E258" s="29" t="s">
        <v>1571</v>
      </c>
      <c r="F258" s="29">
        <f t="shared" ref="F258:F321" si="35">YEAR(A258)</f>
        <v>2024</v>
      </c>
      <c r="G258" s="29" t="str">
        <f t="shared" ref="G258:G321" si="36">TEXT(A258,"mmmm")</f>
        <v>July</v>
      </c>
      <c r="H258" s="30">
        <v>297887</v>
      </c>
      <c r="I258" s="30">
        <v>19916</v>
      </c>
      <c r="J258" s="31">
        <v>3329</v>
      </c>
      <c r="K258" s="31">
        <v>2125</v>
      </c>
      <c r="L258" s="31">
        <v>936</v>
      </c>
      <c r="M258" s="32">
        <v>270727.95</v>
      </c>
      <c r="N258" s="32">
        <v>2895011.75</v>
      </c>
      <c r="O258" s="33">
        <f t="shared" si="31"/>
        <v>6.69</v>
      </c>
      <c r="P258" s="34">
        <f t="shared" ref="P258:P321" si="37">M258/J258</f>
        <v>81.3241063382397</v>
      </c>
      <c r="Q258" s="35">
        <f t="shared" ref="Q258:Q321" si="38">N258/M258</f>
        <v>10.693435051682</v>
      </c>
      <c r="R258" s="35">
        <f t="shared" si="32"/>
        <v>13.5934901586664</v>
      </c>
      <c r="S258" s="33">
        <f t="shared" si="33"/>
        <v>908.83</v>
      </c>
      <c r="T258" s="36">
        <f t="shared" si="34"/>
        <v>969.34</v>
      </c>
    </row>
    <row r="259" spans="1:20">
      <c r="A259" s="37">
        <v>45481</v>
      </c>
      <c r="B259" s="38" t="s">
        <v>516</v>
      </c>
      <c r="C259" s="38" t="s">
        <v>517</v>
      </c>
      <c r="D259" s="38" t="s">
        <v>518</v>
      </c>
      <c r="E259" s="38" t="s">
        <v>1571</v>
      </c>
      <c r="F259" s="38">
        <f t="shared" si="35"/>
        <v>2024</v>
      </c>
      <c r="G259" s="38" t="str">
        <f t="shared" si="36"/>
        <v>July</v>
      </c>
      <c r="H259" s="30">
        <v>54376</v>
      </c>
      <c r="I259" s="30">
        <v>2198</v>
      </c>
      <c r="J259" s="39">
        <v>530</v>
      </c>
      <c r="K259" s="39">
        <v>240</v>
      </c>
      <c r="L259" s="39">
        <v>98</v>
      </c>
      <c r="M259" s="40">
        <v>48889.03</v>
      </c>
      <c r="N259" s="40">
        <v>404235.06</v>
      </c>
      <c r="O259" s="33">
        <f t="shared" ref="O259:O322" si="39">ROUND(I259/H259*100,2)</f>
        <v>4.04</v>
      </c>
      <c r="P259" s="34">
        <f t="shared" si="37"/>
        <v>92.2434528301887</v>
      </c>
      <c r="Q259" s="35">
        <f t="shared" si="38"/>
        <v>8.26842054342252</v>
      </c>
      <c r="R259" s="35">
        <f t="shared" si="32"/>
        <v>22.2425068243858</v>
      </c>
      <c r="S259" s="33">
        <f t="shared" si="33"/>
        <v>899.09</v>
      </c>
      <c r="T259" s="36">
        <f t="shared" si="34"/>
        <v>726.84</v>
      </c>
    </row>
    <row r="260" spans="1:20">
      <c r="A260" s="28">
        <v>45512</v>
      </c>
      <c r="B260" s="29" t="s">
        <v>144</v>
      </c>
      <c r="C260" s="29" t="s">
        <v>145</v>
      </c>
      <c r="D260" s="29" t="s">
        <v>146</v>
      </c>
      <c r="E260" s="29" t="s">
        <v>1571</v>
      </c>
      <c r="F260" s="29">
        <f t="shared" si="35"/>
        <v>2024</v>
      </c>
      <c r="G260" s="29" t="str">
        <f t="shared" si="36"/>
        <v>August</v>
      </c>
      <c r="H260" s="30">
        <v>88036</v>
      </c>
      <c r="I260" s="30">
        <v>3843</v>
      </c>
      <c r="J260" s="31">
        <v>807</v>
      </c>
      <c r="K260" s="31">
        <v>511</v>
      </c>
      <c r="L260" s="31">
        <v>208</v>
      </c>
      <c r="M260" s="32">
        <v>69666.14</v>
      </c>
      <c r="N260" s="32">
        <v>1270694.45</v>
      </c>
      <c r="O260" s="33">
        <f t="shared" si="39"/>
        <v>4.37</v>
      </c>
      <c r="P260" s="34">
        <f t="shared" si="37"/>
        <v>86.3273110285006</v>
      </c>
      <c r="Q260" s="35">
        <f t="shared" si="38"/>
        <v>18.2397711427675</v>
      </c>
      <c r="R260" s="35">
        <f t="shared" si="32"/>
        <v>18.1280614103565</v>
      </c>
      <c r="S260" s="33">
        <f t="shared" si="33"/>
        <v>791.34</v>
      </c>
      <c r="T260" s="36">
        <f t="shared" si="34"/>
        <v>1723.98</v>
      </c>
    </row>
    <row r="261" spans="1:20">
      <c r="A261" s="37">
        <v>45512</v>
      </c>
      <c r="B261" s="38" t="s">
        <v>516</v>
      </c>
      <c r="C261" s="38" t="s">
        <v>517</v>
      </c>
      <c r="D261" s="38" t="s">
        <v>518</v>
      </c>
      <c r="E261" s="38" t="s">
        <v>1571</v>
      </c>
      <c r="F261" s="38">
        <f t="shared" si="35"/>
        <v>2024</v>
      </c>
      <c r="G261" s="38" t="str">
        <f t="shared" si="36"/>
        <v>August</v>
      </c>
      <c r="H261" s="30">
        <v>276523</v>
      </c>
      <c r="I261" s="30">
        <v>11747</v>
      </c>
      <c r="J261" s="39">
        <v>1913</v>
      </c>
      <c r="K261" s="39">
        <v>1099</v>
      </c>
      <c r="L261" s="39">
        <v>451</v>
      </c>
      <c r="M261" s="40">
        <v>112550.84</v>
      </c>
      <c r="N261" s="40">
        <v>3062511.38</v>
      </c>
      <c r="O261" s="33">
        <f t="shared" si="39"/>
        <v>4.25</v>
      </c>
      <c r="P261" s="34">
        <f t="shared" si="37"/>
        <v>58.8347307893361</v>
      </c>
      <c r="Q261" s="35">
        <f t="shared" si="38"/>
        <v>27.2100268643042</v>
      </c>
      <c r="R261" s="35">
        <f t="shared" si="32"/>
        <v>9.58124116795778</v>
      </c>
      <c r="S261" s="33">
        <f t="shared" si="33"/>
        <v>407.02</v>
      </c>
      <c r="T261" s="36">
        <f t="shared" si="34"/>
        <v>2621</v>
      </c>
    </row>
    <row r="262" spans="1:20">
      <c r="A262" s="28">
        <v>45543</v>
      </c>
      <c r="B262" s="29" t="s">
        <v>144</v>
      </c>
      <c r="C262" s="29" t="s">
        <v>145</v>
      </c>
      <c r="D262" s="29" t="s">
        <v>146</v>
      </c>
      <c r="E262" s="29" t="s">
        <v>1571</v>
      </c>
      <c r="F262" s="29">
        <f t="shared" si="35"/>
        <v>2024</v>
      </c>
      <c r="G262" s="29" t="str">
        <f t="shared" si="36"/>
        <v>September</v>
      </c>
      <c r="H262" s="30">
        <v>61270</v>
      </c>
      <c r="I262" s="30">
        <v>3608</v>
      </c>
      <c r="J262" s="31">
        <v>771</v>
      </c>
      <c r="K262" s="31">
        <v>487</v>
      </c>
      <c r="L262" s="31">
        <v>203</v>
      </c>
      <c r="M262" s="32">
        <v>48486.67</v>
      </c>
      <c r="N262" s="32">
        <v>1016705.47</v>
      </c>
      <c r="O262" s="33">
        <f t="shared" si="39"/>
        <v>5.89</v>
      </c>
      <c r="P262" s="34">
        <f t="shared" si="37"/>
        <v>62.8880285343709</v>
      </c>
      <c r="Q262" s="35">
        <f t="shared" si="38"/>
        <v>20.968762548552</v>
      </c>
      <c r="R262" s="35">
        <f t="shared" si="32"/>
        <v>13.4386557649667</v>
      </c>
      <c r="S262" s="33">
        <f t="shared" si="33"/>
        <v>791.36</v>
      </c>
      <c r="T262" s="36">
        <f t="shared" si="34"/>
        <v>1996.88</v>
      </c>
    </row>
    <row r="263" spans="1:20">
      <c r="A263" s="37">
        <v>45543</v>
      </c>
      <c r="B263" s="38" t="s">
        <v>516</v>
      </c>
      <c r="C263" s="38" t="s">
        <v>517</v>
      </c>
      <c r="D263" s="38" t="s">
        <v>518</v>
      </c>
      <c r="E263" s="38" t="s">
        <v>1573</v>
      </c>
      <c r="F263" s="38">
        <f t="shared" si="35"/>
        <v>2024</v>
      </c>
      <c r="G263" s="38" t="str">
        <f t="shared" si="36"/>
        <v>September</v>
      </c>
      <c r="H263" s="30">
        <v>175935</v>
      </c>
      <c r="I263" s="30">
        <v>8558</v>
      </c>
      <c r="J263" s="39">
        <v>1832</v>
      </c>
      <c r="K263" s="39">
        <v>1035</v>
      </c>
      <c r="L263" s="39">
        <v>601</v>
      </c>
      <c r="M263" s="40">
        <v>163462.72</v>
      </c>
      <c r="N263" s="40">
        <v>2873827.39</v>
      </c>
      <c r="O263" s="33">
        <f t="shared" si="39"/>
        <v>4.86</v>
      </c>
      <c r="P263" s="34">
        <f t="shared" si="37"/>
        <v>89.2263755458515</v>
      </c>
      <c r="Q263" s="35">
        <f t="shared" si="38"/>
        <v>17.580934600868</v>
      </c>
      <c r="R263" s="35">
        <f t="shared" si="32"/>
        <v>19.1005749006777</v>
      </c>
      <c r="S263" s="33">
        <f t="shared" si="33"/>
        <v>929.11</v>
      </c>
      <c r="T263" s="36">
        <f t="shared" si="34"/>
        <v>1658.09</v>
      </c>
    </row>
    <row r="264" spans="1:20">
      <c r="A264" s="28">
        <v>45573</v>
      </c>
      <c r="B264" s="29" t="s">
        <v>144</v>
      </c>
      <c r="C264" s="29" t="s">
        <v>145</v>
      </c>
      <c r="D264" s="29" t="s">
        <v>146</v>
      </c>
      <c r="E264" s="29" t="s">
        <v>1571</v>
      </c>
      <c r="F264" s="29">
        <f t="shared" si="35"/>
        <v>2024</v>
      </c>
      <c r="G264" s="29" t="str">
        <f t="shared" si="36"/>
        <v>October</v>
      </c>
      <c r="H264" s="30">
        <v>270202</v>
      </c>
      <c r="I264" s="30">
        <v>19267</v>
      </c>
      <c r="J264" s="31">
        <v>3864</v>
      </c>
      <c r="K264" s="31">
        <v>1957</v>
      </c>
      <c r="L264" s="31">
        <v>1169</v>
      </c>
      <c r="M264" s="32">
        <v>132916.08</v>
      </c>
      <c r="N264" s="32">
        <v>5811867.04</v>
      </c>
      <c r="O264" s="33">
        <f t="shared" si="39"/>
        <v>7.13</v>
      </c>
      <c r="P264" s="34">
        <f t="shared" si="37"/>
        <v>34.3985714285714</v>
      </c>
      <c r="Q264" s="35">
        <f t="shared" si="38"/>
        <v>43.7258384388104</v>
      </c>
      <c r="R264" s="35">
        <f t="shared" si="32"/>
        <v>6.89863912389059</v>
      </c>
      <c r="S264" s="33">
        <f t="shared" si="33"/>
        <v>491.91</v>
      </c>
      <c r="T264" s="36">
        <f t="shared" si="34"/>
        <v>4272.58</v>
      </c>
    </row>
    <row r="265" spans="1:20">
      <c r="A265" s="37">
        <v>45573</v>
      </c>
      <c r="B265" s="38" t="s">
        <v>516</v>
      </c>
      <c r="C265" s="38" t="s">
        <v>517</v>
      </c>
      <c r="D265" s="38" t="s">
        <v>518</v>
      </c>
      <c r="E265" s="38" t="s">
        <v>1571</v>
      </c>
      <c r="F265" s="38">
        <f t="shared" si="35"/>
        <v>2024</v>
      </c>
      <c r="G265" s="38" t="str">
        <f t="shared" si="36"/>
        <v>October</v>
      </c>
      <c r="H265" s="30">
        <v>70308</v>
      </c>
      <c r="I265" s="30">
        <v>4870</v>
      </c>
      <c r="J265" s="39">
        <v>930</v>
      </c>
      <c r="K265" s="39">
        <v>492</v>
      </c>
      <c r="L265" s="39">
        <v>251</v>
      </c>
      <c r="M265" s="40">
        <v>51723.19</v>
      </c>
      <c r="N265" s="40">
        <v>1262103.52</v>
      </c>
      <c r="O265" s="33">
        <f t="shared" si="39"/>
        <v>6.93</v>
      </c>
      <c r="P265" s="34">
        <f t="shared" si="37"/>
        <v>55.6163333333333</v>
      </c>
      <c r="Q265" s="35">
        <f t="shared" si="38"/>
        <v>24.4011152444387</v>
      </c>
      <c r="R265" s="35">
        <f t="shared" si="32"/>
        <v>10.6207782340862</v>
      </c>
      <c r="S265" s="33">
        <f t="shared" si="33"/>
        <v>735.67</v>
      </c>
      <c r="T265" s="36">
        <f t="shared" si="34"/>
        <v>2340.11</v>
      </c>
    </row>
    <row r="266" spans="1:20">
      <c r="A266" s="28">
        <v>45604</v>
      </c>
      <c r="B266" s="29" t="s">
        <v>144</v>
      </c>
      <c r="C266" s="29" t="s">
        <v>145</v>
      </c>
      <c r="D266" s="29" t="s">
        <v>146</v>
      </c>
      <c r="E266" s="29" t="s">
        <v>1571</v>
      </c>
      <c r="F266" s="29">
        <f t="shared" si="35"/>
        <v>2024</v>
      </c>
      <c r="G266" s="29" t="str">
        <f t="shared" si="36"/>
        <v>November</v>
      </c>
      <c r="H266" s="30">
        <v>206790</v>
      </c>
      <c r="I266" s="30">
        <v>15329</v>
      </c>
      <c r="J266" s="31">
        <v>3569</v>
      </c>
      <c r="K266" s="31">
        <v>2038</v>
      </c>
      <c r="L266" s="31">
        <v>1076</v>
      </c>
      <c r="M266" s="32">
        <v>151435.23</v>
      </c>
      <c r="N266" s="32">
        <v>8479988.83</v>
      </c>
      <c r="O266" s="33">
        <f t="shared" si="39"/>
        <v>7.41</v>
      </c>
      <c r="P266" s="34">
        <f t="shared" si="37"/>
        <v>42.4307172877557</v>
      </c>
      <c r="Q266" s="35">
        <f t="shared" si="38"/>
        <v>55.9974639322699</v>
      </c>
      <c r="R266" s="35">
        <f t="shared" si="32"/>
        <v>9.87900254419727</v>
      </c>
      <c r="S266" s="33">
        <f t="shared" si="33"/>
        <v>732.31</v>
      </c>
      <c r="T266" s="36">
        <f t="shared" si="34"/>
        <v>5499.75</v>
      </c>
    </row>
    <row r="267" spans="1:20">
      <c r="A267" s="37">
        <v>45604</v>
      </c>
      <c r="B267" s="38" t="s">
        <v>516</v>
      </c>
      <c r="C267" s="38" t="s">
        <v>517</v>
      </c>
      <c r="D267" s="38" t="s">
        <v>518</v>
      </c>
      <c r="E267" s="38" t="s">
        <v>1573</v>
      </c>
      <c r="F267" s="38">
        <f t="shared" si="35"/>
        <v>2024</v>
      </c>
      <c r="G267" s="38" t="str">
        <f t="shared" si="36"/>
        <v>November</v>
      </c>
      <c r="H267" s="30">
        <v>239465</v>
      </c>
      <c r="I267" s="30">
        <v>10006</v>
      </c>
      <c r="J267" s="39">
        <v>1533</v>
      </c>
      <c r="K267" s="39">
        <v>767</v>
      </c>
      <c r="L267" s="39">
        <v>445</v>
      </c>
      <c r="M267" s="40">
        <v>119177.15</v>
      </c>
      <c r="N267" s="40">
        <v>3554173.67</v>
      </c>
      <c r="O267" s="33">
        <f t="shared" si="39"/>
        <v>4.18</v>
      </c>
      <c r="P267" s="34">
        <f t="shared" si="37"/>
        <v>77.741128506197</v>
      </c>
      <c r="Q267" s="35">
        <f t="shared" si="38"/>
        <v>29.8226100389211</v>
      </c>
      <c r="R267" s="35">
        <f t="shared" si="32"/>
        <v>11.9105686588047</v>
      </c>
      <c r="S267" s="33">
        <f t="shared" si="33"/>
        <v>497.68</v>
      </c>
      <c r="T267" s="36">
        <f t="shared" si="34"/>
        <v>2882.26</v>
      </c>
    </row>
    <row r="268" spans="1:20">
      <c r="A268" s="28">
        <v>45634</v>
      </c>
      <c r="B268" s="29" t="s">
        <v>144</v>
      </c>
      <c r="C268" s="29" t="s">
        <v>145</v>
      </c>
      <c r="D268" s="29" t="s">
        <v>146</v>
      </c>
      <c r="E268" s="29" t="s">
        <v>1571</v>
      </c>
      <c r="F268" s="29">
        <f t="shared" si="35"/>
        <v>2024</v>
      </c>
      <c r="G268" s="29" t="str">
        <f t="shared" si="36"/>
        <v>December</v>
      </c>
      <c r="H268" s="30">
        <v>143259</v>
      </c>
      <c r="I268" s="30">
        <v>4765</v>
      </c>
      <c r="J268" s="31">
        <v>1041</v>
      </c>
      <c r="K268" s="31">
        <v>609</v>
      </c>
      <c r="L268" s="31">
        <v>246</v>
      </c>
      <c r="M268" s="32">
        <v>103534</v>
      </c>
      <c r="N268" s="32">
        <v>1950084.07</v>
      </c>
      <c r="O268" s="33">
        <f t="shared" si="39"/>
        <v>3.33</v>
      </c>
      <c r="P268" s="34">
        <f t="shared" si="37"/>
        <v>99.4562920268972</v>
      </c>
      <c r="Q268" s="35">
        <f t="shared" si="38"/>
        <v>18.8352045704793</v>
      </c>
      <c r="R268" s="35">
        <f t="shared" si="32"/>
        <v>21.7280167890871</v>
      </c>
      <c r="S268" s="33">
        <f t="shared" si="33"/>
        <v>722.71</v>
      </c>
      <c r="T268" s="36">
        <f t="shared" si="34"/>
        <v>1783.52</v>
      </c>
    </row>
    <row r="269" spans="1:20">
      <c r="A269" s="37">
        <v>45634</v>
      </c>
      <c r="B269" s="38" t="s">
        <v>516</v>
      </c>
      <c r="C269" s="38" t="s">
        <v>517</v>
      </c>
      <c r="D269" s="38" t="s">
        <v>518</v>
      </c>
      <c r="E269" s="38" t="s">
        <v>1573</v>
      </c>
      <c r="F269" s="38">
        <f t="shared" si="35"/>
        <v>2024</v>
      </c>
      <c r="G269" s="38" t="str">
        <f t="shared" si="36"/>
        <v>December</v>
      </c>
      <c r="H269" s="30">
        <v>60504</v>
      </c>
      <c r="I269" s="30">
        <v>2239</v>
      </c>
      <c r="J269" s="39">
        <v>539</v>
      </c>
      <c r="K269" s="39">
        <v>322</v>
      </c>
      <c r="L269" s="39">
        <v>184</v>
      </c>
      <c r="M269" s="40">
        <v>54506.92</v>
      </c>
      <c r="N269" s="40">
        <v>1051156.08</v>
      </c>
      <c r="O269" s="33">
        <f t="shared" si="39"/>
        <v>3.7</v>
      </c>
      <c r="P269" s="34">
        <f t="shared" si="37"/>
        <v>101.126011131725</v>
      </c>
      <c r="Q269" s="35">
        <f t="shared" si="38"/>
        <v>19.2848188817126</v>
      </c>
      <c r="R269" s="35">
        <f t="shared" si="32"/>
        <v>24.3443144260831</v>
      </c>
      <c r="S269" s="33">
        <f t="shared" si="33"/>
        <v>900.88</v>
      </c>
      <c r="T269" s="36">
        <f t="shared" si="34"/>
        <v>1828.48</v>
      </c>
    </row>
    <row r="270" spans="1:20">
      <c r="A270" s="28">
        <v>45517</v>
      </c>
      <c r="B270" s="29" t="s">
        <v>144</v>
      </c>
      <c r="C270" s="29" t="s">
        <v>145</v>
      </c>
      <c r="D270" s="29" t="s">
        <v>146</v>
      </c>
      <c r="E270" s="29" t="s">
        <v>1571</v>
      </c>
      <c r="F270" s="29">
        <f t="shared" si="35"/>
        <v>2024</v>
      </c>
      <c r="G270" s="29" t="str">
        <f t="shared" si="36"/>
        <v>August</v>
      </c>
      <c r="H270" s="30">
        <v>203962</v>
      </c>
      <c r="I270" s="30">
        <v>9650</v>
      </c>
      <c r="J270" s="31">
        <v>2394</v>
      </c>
      <c r="K270" s="31">
        <v>1402</v>
      </c>
      <c r="L270" s="31">
        <v>591</v>
      </c>
      <c r="M270" s="32">
        <v>143265.17</v>
      </c>
      <c r="N270" s="32">
        <v>2808713.52</v>
      </c>
      <c r="O270" s="33">
        <f t="shared" si="39"/>
        <v>4.73</v>
      </c>
      <c r="P270" s="34">
        <f t="shared" si="37"/>
        <v>59.8434294068505</v>
      </c>
      <c r="Q270" s="35">
        <f t="shared" si="38"/>
        <v>19.6049990377982</v>
      </c>
      <c r="R270" s="35">
        <f t="shared" si="32"/>
        <v>14.8461316062176</v>
      </c>
      <c r="S270" s="33">
        <f t="shared" si="33"/>
        <v>702.41</v>
      </c>
      <c r="T270" s="36">
        <f t="shared" si="34"/>
        <v>1860.5</v>
      </c>
    </row>
    <row r="271" spans="1:20">
      <c r="A271" s="37">
        <v>45517</v>
      </c>
      <c r="B271" s="38" t="s">
        <v>516</v>
      </c>
      <c r="C271" s="38" t="s">
        <v>517</v>
      </c>
      <c r="D271" s="38" t="s">
        <v>518</v>
      </c>
      <c r="E271" s="38" t="s">
        <v>1571</v>
      </c>
      <c r="F271" s="38">
        <f t="shared" si="35"/>
        <v>2024</v>
      </c>
      <c r="G271" s="38" t="str">
        <f t="shared" si="36"/>
        <v>August</v>
      </c>
      <c r="H271" s="30">
        <v>140195</v>
      </c>
      <c r="I271" s="30">
        <v>9654</v>
      </c>
      <c r="J271" s="39">
        <v>1913</v>
      </c>
      <c r="K271" s="39">
        <v>1044</v>
      </c>
      <c r="L271" s="39">
        <v>524</v>
      </c>
      <c r="M271" s="40">
        <v>78718.46</v>
      </c>
      <c r="N271" s="40">
        <v>3267340.14</v>
      </c>
      <c r="O271" s="33">
        <f t="shared" si="39"/>
        <v>6.89</v>
      </c>
      <c r="P271" s="34">
        <f t="shared" si="37"/>
        <v>41.1492211186618</v>
      </c>
      <c r="Q271" s="35">
        <f t="shared" si="38"/>
        <v>41.5066572694639</v>
      </c>
      <c r="R271" s="35">
        <f t="shared" si="32"/>
        <v>8.1539734824943</v>
      </c>
      <c r="S271" s="33">
        <f t="shared" si="33"/>
        <v>561.49</v>
      </c>
      <c r="T271" s="36">
        <f t="shared" si="34"/>
        <v>4050.67</v>
      </c>
    </row>
    <row r="272" spans="1:20">
      <c r="A272" s="28">
        <v>45518</v>
      </c>
      <c r="B272" s="29" t="s">
        <v>144</v>
      </c>
      <c r="C272" s="29" t="s">
        <v>145</v>
      </c>
      <c r="D272" s="29" t="s">
        <v>146</v>
      </c>
      <c r="E272" s="29" t="s">
        <v>1571</v>
      </c>
      <c r="F272" s="29">
        <f t="shared" si="35"/>
        <v>2024</v>
      </c>
      <c r="G272" s="29" t="str">
        <f t="shared" si="36"/>
        <v>August</v>
      </c>
      <c r="H272" s="30">
        <v>93684</v>
      </c>
      <c r="I272" s="30">
        <v>5805</v>
      </c>
      <c r="J272" s="31">
        <v>1305</v>
      </c>
      <c r="K272" s="31">
        <v>670</v>
      </c>
      <c r="L272" s="31">
        <v>372</v>
      </c>
      <c r="M272" s="32">
        <v>41067.66</v>
      </c>
      <c r="N272" s="32">
        <v>1553036.39</v>
      </c>
      <c r="O272" s="33">
        <f t="shared" si="39"/>
        <v>6.2</v>
      </c>
      <c r="P272" s="34">
        <f t="shared" si="37"/>
        <v>31.4694712643678</v>
      </c>
      <c r="Q272" s="35">
        <f t="shared" si="38"/>
        <v>37.8165298436775</v>
      </c>
      <c r="R272" s="35">
        <f t="shared" si="32"/>
        <v>7.0745322997416</v>
      </c>
      <c r="S272" s="33">
        <f t="shared" si="33"/>
        <v>438.36</v>
      </c>
      <c r="T272" s="36">
        <f t="shared" si="34"/>
        <v>3681.65</v>
      </c>
    </row>
    <row r="273" spans="1:20">
      <c r="A273" s="37">
        <v>45518</v>
      </c>
      <c r="B273" s="38" t="s">
        <v>516</v>
      </c>
      <c r="C273" s="38" t="s">
        <v>517</v>
      </c>
      <c r="D273" s="38" t="s">
        <v>518</v>
      </c>
      <c r="E273" s="38" t="s">
        <v>1573</v>
      </c>
      <c r="F273" s="38">
        <f t="shared" si="35"/>
        <v>2024</v>
      </c>
      <c r="G273" s="38" t="str">
        <f t="shared" si="36"/>
        <v>August</v>
      </c>
      <c r="H273" s="30">
        <v>184290</v>
      </c>
      <c r="I273" s="30">
        <v>10858</v>
      </c>
      <c r="J273" s="39">
        <v>2176</v>
      </c>
      <c r="K273" s="39">
        <v>991</v>
      </c>
      <c r="L273" s="39">
        <v>427</v>
      </c>
      <c r="M273" s="40">
        <v>163226.63</v>
      </c>
      <c r="N273" s="40">
        <v>1995132.12</v>
      </c>
      <c r="O273" s="33">
        <f t="shared" si="39"/>
        <v>5.89</v>
      </c>
      <c r="P273" s="34">
        <f t="shared" si="37"/>
        <v>75.0122380514706</v>
      </c>
      <c r="Q273" s="35">
        <f t="shared" si="38"/>
        <v>12.2230797756469</v>
      </c>
      <c r="R273" s="35">
        <f t="shared" si="32"/>
        <v>15.032844906981</v>
      </c>
      <c r="S273" s="33">
        <f t="shared" si="33"/>
        <v>885.71</v>
      </c>
      <c r="T273" s="36">
        <f t="shared" si="34"/>
        <v>1122.31</v>
      </c>
    </row>
    <row r="274" spans="1:20">
      <c r="A274" s="28">
        <v>45519</v>
      </c>
      <c r="B274" s="29" t="s">
        <v>144</v>
      </c>
      <c r="C274" s="29" t="s">
        <v>145</v>
      </c>
      <c r="D274" s="29" t="s">
        <v>146</v>
      </c>
      <c r="E274" s="29" t="s">
        <v>1571</v>
      </c>
      <c r="F274" s="29">
        <f t="shared" si="35"/>
        <v>2024</v>
      </c>
      <c r="G274" s="29" t="str">
        <f t="shared" si="36"/>
        <v>August</v>
      </c>
      <c r="H274" s="30">
        <v>246897</v>
      </c>
      <c r="I274" s="30">
        <v>8565</v>
      </c>
      <c r="J274" s="31">
        <v>2017</v>
      </c>
      <c r="K274" s="31">
        <v>1112</v>
      </c>
      <c r="L274" s="31">
        <v>614</v>
      </c>
      <c r="M274" s="32">
        <v>246807.4</v>
      </c>
      <c r="N274" s="32">
        <v>4424382.49</v>
      </c>
      <c r="O274" s="33">
        <f t="shared" si="39"/>
        <v>3.47</v>
      </c>
      <c r="P274" s="34">
        <f t="shared" si="37"/>
        <v>122.363609320773</v>
      </c>
      <c r="Q274" s="35">
        <f t="shared" si="38"/>
        <v>17.9264579992334</v>
      </c>
      <c r="R274" s="35">
        <f t="shared" si="32"/>
        <v>28.815808523059</v>
      </c>
      <c r="S274" s="33">
        <f t="shared" si="33"/>
        <v>999.64</v>
      </c>
      <c r="T274" s="36">
        <f t="shared" si="34"/>
        <v>1692.65</v>
      </c>
    </row>
    <row r="275" spans="1:20">
      <c r="A275" s="37">
        <v>45519</v>
      </c>
      <c r="B275" s="38" t="s">
        <v>516</v>
      </c>
      <c r="C275" s="38" t="s">
        <v>517</v>
      </c>
      <c r="D275" s="38" t="s">
        <v>518</v>
      </c>
      <c r="E275" s="38" t="s">
        <v>1571</v>
      </c>
      <c r="F275" s="38">
        <f t="shared" si="35"/>
        <v>2024</v>
      </c>
      <c r="G275" s="38" t="str">
        <f t="shared" si="36"/>
        <v>August</v>
      </c>
      <c r="H275" s="30">
        <v>75772</v>
      </c>
      <c r="I275" s="30">
        <v>2986</v>
      </c>
      <c r="J275" s="39">
        <v>585</v>
      </c>
      <c r="K275" s="39">
        <v>343</v>
      </c>
      <c r="L275" s="39">
        <v>194</v>
      </c>
      <c r="M275" s="40">
        <v>50358.62</v>
      </c>
      <c r="N275" s="40">
        <v>1510026.78</v>
      </c>
      <c r="O275" s="33">
        <f t="shared" si="39"/>
        <v>3.94</v>
      </c>
      <c r="P275" s="34">
        <f t="shared" si="37"/>
        <v>86.0831111111111</v>
      </c>
      <c r="Q275" s="35">
        <f t="shared" si="38"/>
        <v>29.9854678305323</v>
      </c>
      <c r="R275" s="35">
        <f t="shared" si="32"/>
        <v>16.8649095780308</v>
      </c>
      <c r="S275" s="33">
        <f t="shared" si="33"/>
        <v>664.61</v>
      </c>
      <c r="T275" s="36">
        <f t="shared" si="34"/>
        <v>2898.55</v>
      </c>
    </row>
    <row r="276" spans="1:20">
      <c r="A276" s="28">
        <v>45520</v>
      </c>
      <c r="B276" s="29" t="s">
        <v>144</v>
      </c>
      <c r="C276" s="29" t="s">
        <v>145</v>
      </c>
      <c r="D276" s="29" t="s">
        <v>146</v>
      </c>
      <c r="E276" s="29" t="s">
        <v>1571</v>
      </c>
      <c r="F276" s="29">
        <f t="shared" si="35"/>
        <v>2024</v>
      </c>
      <c r="G276" s="29" t="str">
        <f t="shared" si="36"/>
        <v>August</v>
      </c>
      <c r="H276" s="30">
        <v>259857</v>
      </c>
      <c r="I276" s="30">
        <v>18951</v>
      </c>
      <c r="J276" s="31">
        <v>3776</v>
      </c>
      <c r="K276" s="31">
        <v>2370</v>
      </c>
      <c r="L276" s="31">
        <v>1066</v>
      </c>
      <c r="M276" s="32">
        <v>110740.59</v>
      </c>
      <c r="N276" s="32">
        <v>3876986.66</v>
      </c>
      <c r="O276" s="33">
        <f t="shared" si="39"/>
        <v>7.29</v>
      </c>
      <c r="P276" s="34">
        <f t="shared" si="37"/>
        <v>29.3274867584746</v>
      </c>
      <c r="Q276" s="35">
        <f t="shared" si="38"/>
        <v>35.0096261903607</v>
      </c>
      <c r="R276" s="35">
        <f t="shared" si="32"/>
        <v>5.84352224157037</v>
      </c>
      <c r="S276" s="33">
        <f t="shared" si="33"/>
        <v>426.16</v>
      </c>
      <c r="T276" s="36">
        <f t="shared" si="34"/>
        <v>3400.96</v>
      </c>
    </row>
    <row r="277" spans="1:20">
      <c r="A277" s="37">
        <v>45520</v>
      </c>
      <c r="B277" s="38" t="s">
        <v>516</v>
      </c>
      <c r="C277" s="38" t="s">
        <v>517</v>
      </c>
      <c r="D277" s="38" t="s">
        <v>518</v>
      </c>
      <c r="E277" s="38" t="s">
        <v>1573</v>
      </c>
      <c r="F277" s="38">
        <f t="shared" si="35"/>
        <v>2024</v>
      </c>
      <c r="G277" s="38" t="str">
        <f t="shared" si="36"/>
        <v>August</v>
      </c>
      <c r="H277" s="30">
        <v>147185</v>
      </c>
      <c r="I277" s="30">
        <v>8624</v>
      </c>
      <c r="J277" s="39">
        <v>2052</v>
      </c>
      <c r="K277" s="39">
        <v>1243</v>
      </c>
      <c r="L277" s="39">
        <v>630</v>
      </c>
      <c r="M277" s="40">
        <v>102580.43</v>
      </c>
      <c r="N277" s="40">
        <v>3446317.81</v>
      </c>
      <c r="O277" s="33">
        <f t="shared" si="39"/>
        <v>5.86</v>
      </c>
      <c r="P277" s="34">
        <f t="shared" si="37"/>
        <v>49.990462962963</v>
      </c>
      <c r="Q277" s="35">
        <f t="shared" si="38"/>
        <v>33.596250376412</v>
      </c>
      <c r="R277" s="35">
        <f t="shared" si="32"/>
        <v>11.8947622912801</v>
      </c>
      <c r="S277" s="33">
        <f t="shared" si="33"/>
        <v>696.95</v>
      </c>
      <c r="T277" s="36">
        <f t="shared" si="34"/>
        <v>3259.63</v>
      </c>
    </row>
    <row r="278" spans="1:20">
      <c r="A278" s="28">
        <v>45521</v>
      </c>
      <c r="B278" s="29" t="s">
        <v>144</v>
      </c>
      <c r="C278" s="29" t="s">
        <v>145</v>
      </c>
      <c r="D278" s="29" t="s">
        <v>146</v>
      </c>
      <c r="E278" s="29" t="s">
        <v>1571</v>
      </c>
      <c r="F278" s="29">
        <f t="shared" si="35"/>
        <v>2024</v>
      </c>
      <c r="G278" s="29" t="str">
        <f t="shared" si="36"/>
        <v>August</v>
      </c>
      <c r="H278" s="30">
        <v>160425</v>
      </c>
      <c r="I278" s="30">
        <v>11372</v>
      </c>
      <c r="J278" s="31">
        <v>2306</v>
      </c>
      <c r="K278" s="31">
        <v>1230</v>
      </c>
      <c r="L278" s="31">
        <v>588</v>
      </c>
      <c r="M278" s="32">
        <v>133747.28</v>
      </c>
      <c r="N278" s="32">
        <v>2831000.7</v>
      </c>
      <c r="O278" s="33">
        <f t="shared" si="39"/>
        <v>7.09</v>
      </c>
      <c r="P278" s="34">
        <f t="shared" si="37"/>
        <v>57.9996877710321</v>
      </c>
      <c r="Q278" s="35">
        <f t="shared" si="38"/>
        <v>21.1667908311855</v>
      </c>
      <c r="R278" s="35">
        <f t="shared" si="32"/>
        <v>11.7611044671122</v>
      </c>
      <c r="S278" s="33">
        <f t="shared" si="33"/>
        <v>833.71</v>
      </c>
      <c r="T278" s="36">
        <f t="shared" si="34"/>
        <v>2016.68</v>
      </c>
    </row>
    <row r="279" spans="1:20">
      <c r="A279" s="37">
        <v>45521</v>
      </c>
      <c r="B279" s="38" t="s">
        <v>516</v>
      </c>
      <c r="C279" s="38" t="s">
        <v>517</v>
      </c>
      <c r="D279" s="38" t="s">
        <v>518</v>
      </c>
      <c r="E279" s="38" t="s">
        <v>1572</v>
      </c>
      <c r="F279" s="38">
        <f t="shared" si="35"/>
        <v>2024</v>
      </c>
      <c r="G279" s="38" t="str">
        <f t="shared" si="36"/>
        <v>August</v>
      </c>
      <c r="H279" s="30">
        <v>196487</v>
      </c>
      <c r="I279" s="30">
        <v>8699</v>
      </c>
      <c r="J279" s="39">
        <v>1691</v>
      </c>
      <c r="K279" s="39">
        <v>1051</v>
      </c>
      <c r="L279" s="39">
        <v>613</v>
      </c>
      <c r="M279" s="40">
        <v>171743.84</v>
      </c>
      <c r="N279" s="40">
        <v>3311850.86</v>
      </c>
      <c r="O279" s="33">
        <f t="shared" si="39"/>
        <v>4.43</v>
      </c>
      <c r="P279" s="34">
        <f t="shared" si="37"/>
        <v>101.563477232407</v>
      </c>
      <c r="Q279" s="35">
        <f t="shared" si="38"/>
        <v>19.2836660691877</v>
      </c>
      <c r="R279" s="35">
        <f t="shared" si="32"/>
        <v>19.7429405678814</v>
      </c>
      <c r="S279" s="33">
        <f t="shared" si="33"/>
        <v>874.07</v>
      </c>
      <c r="T279" s="36">
        <f t="shared" si="34"/>
        <v>1828.37</v>
      </c>
    </row>
    <row r="280" spans="1:20">
      <c r="A280" s="28">
        <v>45522</v>
      </c>
      <c r="B280" s="29" t="s">
        <v>144</v>
      </c>
      <c r="C280" s="29" t="s">
        <v>145</v>
      </c>
      <c r="D280" s="29" t="s">
        <v>146</v>
      </c>
      <c r="E280" s="29" t="s">
        <v>1571</v>
      </c>
      <c r="F280" s="29">
        <f t="shared" si="35"/>
        <v>2024</v>
      </c>
      <c r="G280" s="29" t="str">
        <f t="shared" si="36"/>
        <v>August</v>
      </c>
      <c r="H280" s="30">
        <v>136692</v>
      </c>
      <c r="I280" s="30">
        <v>7477</v>
      </c>
      <c r="J280" s="31">
        <v>1371</v>
      </c>
      <c r="K280" s="31">
        <v>764</v>
      </c>
      <c r="L280" s="31">
        <v>442</v>
      </c>
      <c r="M280" s="32">
        <v>120425.27</v>
      </c>
      <c r="N280" s="32">
        <v>2071543.89</v>
      </c>
      <c r="O280" s="33">
        <f t="shared" si="39"/>
        <v>5.47</v>
      </c>
      <c r="P280" s="34">
        <f t="shared" si="37"/>
        <v>87.8375419401897</v>
      </c>
      <c r="Q280" s="35">
        <f t="shared" si="38"/>
        <v>17.2019036370024</v>
      </c>
      <c r="R280" s="35">
        <f t="shared" si="32"/>
        <v>16.1060946903838</v>
      </c>
      <c r="S280" s="33">
        <f t="shared" si="33"/>
        <v>881</v>
      </c>
      <c r="T280" s="36">
        <f t="shared" si="34"/>
        <v>1620.19</v>
      </c>
    </row>
    <row r="281" spans="1:20">
      <c r="A281" s="37">
        <v>45522</v>
      </c>
      <c r="B281" s="38" t="s">
        <v>516</v>
      </c>
      <c r="C281" s="38" t="s">
        <v>517</v>
      </c>
      <c r="D281" s="38" t="s">
        <v>518</v>
      </c>
      <c r="E281" s="38" t="s">
        <v>1573</v>
      </c>
      <c r="F281" s="38">
        <f t="shared" si="35"/>
        <v>2024</v>
      </c>
      <c r="G281" s="38" t="str">
        <f t="shared" si="36"/>
        <v>August</v>
      </c>
      <c r="H281" s="30">
        <v>254671</v>
      </c>
      <c r="I281" s="30">
        <v>15131</v>
      </c>
      <c r="J281" s="39">
        <v>3100</v>
      </c>
      <c r="K281" s="39">
        <v>1454</v>
      </c>
      <c r="L281" s="39">
        <v>638</v>
      </c>
      <c r="M281" s="40">
        <v>167140.01</v>
      </c>
      <c r="N281" s="40">
        <v>4151995.55</v>
      </c>
      <c r="O281" s="33">
        <f t="shared" si="39"/>
        <v>5.94</v>
      </c>
      <c r="P281" s="34">
        <f t="shared" si="37"/>
        <v>53.9161322580645</v>
      </c>
      <c r="Q281" s="35">
        <f t="shared" si="38"/>
        <v>24.8414221705503</v>
      </c>
      <c r="R281" s="35">
        <f t="shared" si="32"/>
        <v>11.0461972110237</v>
      </c>
      <c r="S281" s="33">
        <f t="shared" si="33"/>
        <v>656.3</v>
      </c>
      <c r="T281" s="36">
        <f t="shared" si="34"/>
        <v>2384.14</v>
      </c>
    </row>
    <row r="282" spans="1:20">
      <c r="A282" s="28">
        <v>45523</v>
      </c>
      <c r="B282" s="29" t="s">
        <v>144</v>
      </c>
      <c r="C282" s="29" t="s">
        <v>145</v>
      </c>
      <c r="D282" s="29" t="s">
        <v>146</v>
      </c>
      <c r="E282" s="29" t="s">
        <v>1571</v>
      </c>
      <c r="F282" s="29">
        <f t="shared" si="35"/>
        <v>2024</v>
      </c>
      <c r="G282" s="29" t="str">
        <f t="shared" si="36"/>
        <v>August</v>
      </c>
      <c r="H282" s="30">
        <v>167681</v>
      </c>
      <c r="I282" s="30">
        <v>13225</v>
      </c>
      <c r="J282" s="31">
        <v>2990</v>
      </c>
      <c r="K282" s="31">
        <v>1842</v>
      </c>
      <c r="L282" s="31">
        <v>894</v>
      </c>
      <c r="M282" s="32">
        <v>92404.26</v>
      </c>
      <c r="N282" s="32">
        <v>6148023.7</v>
      </c>
      <c r="O282" s="33">
        <f t="shared" si="39"/>
        <v>7.89</v>
      </c>
      <c r="P282" s="34">
        <f t="shared" si="37"/>
        <v>30.9044347826087</v>
      </c>
      <c r="Q282" s="35">
        <f t="shared" si="38"/>
        <v>66.5339855543457</v>
      </c>
      <c r="R282" s="35">
        <f t="shared" si="32"/>
        <v>6.98708960302457</v>
      </c>
      <c r="S282" s="33">
        <f t="shared" si="33"/>
        <v>551.07</v>
      </c>
      <c r="T282" s="36">
        <f t="shared" si="34"/>
        <v>6553.4</v>
      </c>
    </row>
    <row r="283" spans="1:20">
      <c r="A283" s="37">
        <v>45523</v>
      </c>
      <c r="B283" s="38" t="s">
        <v>516</v>
      </c>
      <c r="C283" s="38" t="s">
        <v>517</v>
      </c>
      <c r="D283" s="38" t="s">
        <v>518</v>
      </c>
      <c r="E283" s="38" t="s">
        <v>1571</v>
      </c>
      <c r="F283" s="38">
        <f t="shared" si="35"/>
        <v>2024</v>
      </c>
      <c r="G283" s="38" t="str">
        <f t="shared" si="36"/>
        <v>August</v>
      </c>
      <c r="H283" s="30">
        <v>150411</v>
      </c>
      <c r="I283" s="30">
        <v>8934</v>
      </c>
      <c r="J283" s="39">
        <v>1854</v>
      </c>
      <c r="K283" s="39">
        <v>1043</v>
      </c>
      <c r="L283" s="39">
        <v>438</v>
      </c>
      <c r="M283" s="40">
        <v>83953.46</v>
      </c>
      <c r="N283" s="40">
        <v>3329055.06</v>
      </c>
      <c r="O283" s="33">
        <f t="shared" si="39"/>
        <v>5.94</v>
      </c>
      <c r="P283" s="34">
        <f t="shared" si="37"/>
        <v>45.2823408845739</v>
      </c>
      <c r="Q283" s="35">
        <f t="shared" si="38"/>
        <v>39.6535778275249</v>
      </c>
      <c r="R283" s="35">
        <f t="shared" si="32"/>
        <v>9.39707409894784</v>
      </c>
      <c r="S283" s="33">
        <f t="shared" si="33"/>
        <v>558.16</v>
      </c>
      <c r="T283" s="36">
        <f t="shared" si="34"/>
        <v>3865.36</v>
      </c>
    </row>
    <row r="284" spans="1:20">
      <c r="A284" s="28">
        <v>45524</v>
      </c>
      <c r="B284" s="29" t="s">
        <v>144</v>
      </c>
      <c r="C284" s="29" t="s">
        <v>145</v>
      </c>
      <c r="D284" s="29" t="s">
        <v>146</v>
      </c>
      <c r="E284" s="29" t="s">
        <v>1571</v>
      </c>
      <c r="F284" s="29">
        <f t="shared" si="35"/>
        <v>2024</v>
      </c>
      <c r="G284" s="29" t="str">
        <f t="shared" si="36"/>
        <v>August</v>
      </c>
      <c r="H284" s="30">
        <v>50916</v>
      </c>
      <c r="I284" s="30">
        <v>2686</v>
      </c>
      <c r="J284" s="31">
        <v>642</v>
      </c>
      <c r="K284" s="31">
        <v>387</v>
      </c>
      <c r="L284" s="31">
        <v>160</v>
      </c>
      <c r="M284" s="32">
        <v>34435.4</v>
      </c>
      <c r="N284" s="32">
        <v>774444.94</v>
      </c>
      <c r="O284" s="33">
        <f t="shared" si="39"/>
        <v>5.28</v>
      </c>
      <c r="P284" s="34">
        <f t="shared" si="37"/>
        <v>53.6376947040498</v>
      </c>
      <c r="Q284" s="35">
        <f t="shared" si="38"/>
        <v>22.4897907386004</v>
      </c>
      <c r="R284" s="35">
        <f t="shared" si="32"/>
        <v>12.8203276247208</v>
      </c>
      <c r="S284" s="33">
        <f t="shared" si="33"/>
        <v>676.32</v>
      </c>
      <c r="T284" s="36">
        <f t="shared" si="34"/>
        <v>2148.98</v>
      </c>
    </row>
    <row r="285" spans="1:20">
      <c r="A285" s="37">
        <v>45524</v>
      </c>
      <c r="B285" s="38" t="s">
        <v>516</v>
      </c>
      <c r="C285" s="38" t="s">
        <v>517</v>
      </c>
      <c r="D285" s="38" t="s">
        <v>518</v>
      </c>
      <c r="E285" s="38" t="s">
        <v>1572</v>
      </c>
      <c r="F285" s="38">
        <f t="shared" si="35"/>
        <v>2024</v>
      </c>
      <c r="G285" s="38" t="str">
        <f t="shared" si="36"/>
        <v>August</v>
      </c>
      <c r="H285" s="30">
        <v>266600</v>
      </c>
      <c r="I285" s="30">
        <v>18274</v>
      </c>
      <c r="J285" s="39">
        <v>4074</v>
      </c>
      <c r="K285" s="39">
        <v>2224</v>
      </c>
      <c r="L285" s="39">
        <v>907</v>
      </c>
      <c r="M285" s="40">
        <v>192783.02</v>
      </c>
      <c r="N285" s="40">
        <v>4819731.14</v>
      </c>
      <c r="O285" s="33">
        <f t="shared" si="39"/>
        <v>6.85</v>
      </c>
      <c r="P285" s="34">
        <f t="shared" si="37"/>
        <v>47.3203289150712</v>
      </c>
      <c r="Q285" s="35">
        <f t="shared" si="38"/>
        <v>25.000807332513</v>
      </c>
      <c r="R285" s="35">
        <f t="shared" si="32"/>
        <v>10.549579730765</v>
      </c>
      <c r="S285" s="33">
        <f t="shared" si="33"/>
        <v>723.12</v>
      </c>
      <c r="T285" s="36">
        <f t="shared" si="34"/>
        <v>2400.08</v>
      </c>
    </row>
    <row r="286" spans="1:20">
      <c r="A286" s="28">
        <v>45525</v>
      </c>
      <c r="B286" s="29" t="s">
        <v>144</v>
      </c>
      <c r="C286" s="29" t="s">
        <v>145</v>
      </c>
      <c r="D286" s="29" t="s">
        <v>146</v>
      </c>
      <c r="E286" s="29" t="s">
        <v>1571</v>
      </c>
      <c r="F286" s="29">
        <f t="shared" si="35"/>
        <v>2024</v>
      </c>
      <c r="G286" s="29" t="str">
        <f t="shared" si="36"/>
        <v>August</v>
      </c>
      <c r="H286" s="30">
        <v>246115</v>
      </c>
      <c r="I286" s="30">
        <v>17238</v>
      </c>
      <c r="J286" s="31">
        <v>2715</v>
      </c>
      <c r="K286" s="31">
        <v>1569</v>
      </c>
      <c r="L286" s="31">
        <v>816</v>
      </c>
      <c r="M286" s="32">
        <v>239237.62</v>
      </c>
      <c r="N286" s="32">
        <v>5018704.73</v>
      </c>
      <c r="O286" s="33">
        <f t="shared" si="39"/>
        <v>7</v>
      </c>
      <c r="P286" s="34">
        <f t="shared" si="37"/>
        <v>88.1169871086556</v>
      </c>
      <c r="Q286" s="35">
        <f t="shared" si="38"/>
        <v>20.9779077805573</v>
      </c>
      <c r="R286" s="35">
        <f t="shared" si="32"/>
        <v>13.8785021464207</v>
      </c>
      <c r="S286" s="33">
        <f t="shared" si="33"/>
        <v>972.06</v>
      </c>
      <c r="T286" s="36">
        <f t="shared" si="34"/>
        <v>1997.79</v>
      </c>
    </row>
    <row r="287" spans="1:20">
      <c r="A287" s="37">
        <v>45525</v>
      </c>
      <c r="B287" s="38" t="s">
        <v>516</v>
      </c>
      <c r="C287" s="38" t="s">
        <v>517</v>
      </c>
      <c r="D287" s="38" t="s">
        <v>518</v>
      </c>
      <c r="E287" s="38" t="s">
        <v>1571</v>
      </c>
      <c r="F287" s="38">
        <f t="shared" si="35"/>
        <v>2024</v>
      </c>
      <c r="G287" s="38" t="str">
        <f t="shared" si="36"/>
        <v>August</v>
      </c>
      <c r="H287" s="30">
        <v>286047</v>
      </c>
      <c r="I287" s="30">
        <v>14611</v>
      </c>
      <c r="J287" s="39">
        <v>3332</v>
      </c>
      <c r="K287" s="39">
        <v>1656</v>
      </c>
      <c r="L287" s="39">
        <v>978</v>
      </c>
      <c r="M287" s="40">
        <v>195179.76</v>
      </c>
      <c r="N287" s="40">
        <v>5342189.13</v>
      </c>
      <c r="O287" s="33">
        <f t="shared" si="39"/>
        <v>5.11</v>
      </c>
      <c r="P287" s="34">
        <f t="shared" si="37"/>
        <v>58.5773589435774</v>
      </c>
      <c r="Q287" s="35">
        <f t="shared" si="38"/>
        <v>27.3706102005659</v>
      </c>
      <c r="R287" s="35">
        <f t="shared" si="32"/>
        <v>13.3584121552255</v>
      </c>
      <c r="S287" s="33">
        <f t="shared" si="33"/>
        <v>682.33</v>
      </c>
      <c r="T287" s="36">
        <f t="shared" si="34"/>
        <v>2637.06</v>
      </c>
    </row>
    <row r="288" spans="1:20">
      <c r="A288" s="28">
        <v>45526</v>
      </c>
      <c r="B288" s="29" t="s">
        <v>144</v>
      </c>
      <c r="C288" s="29" t="s">
        <v>145</v>
      </c>
      <c r="D288" s="29" t="s">
        <v>146</v>
      </c>
      <c r="E288" s="29" t="s">
        <v>1571</v>
      </c>
      <c r="F288" s="29">
        <f t="shared" si="35"/>
        <v>2024</v>
      </c>
      <c r="G288" s="29" t="str">
        <f t="shared" si="36"/>
        <v>August</v>
      </c>
      <c r="H288" s="30">
        <v>55434</v>
      </c>
      <c r="I288" s="30">
        <v>3340</v>
      </c>
      <c r="J288" s="31">
        <v>628</v>
      </c>
      <c r="K288" s="31">
        <v>299</v>
      </c>
      <c r="L288" s="31">
        <v>157</v>
      </c>
      <c r="M288" s="32">
        <v>47688.64</v>
      </c>
      <c r="N288" s="32">
        <v>567663.31</v>
      </c>
      <c r="O288" s="33">
        <f t="shared" si="39"/>
        <v>6.03</v>
      </c>
      <c r="P288" s="34">
        <f t="shared" si="37"/>
        <v>75.9373248407643</v>
      </c>
      <c r="Q288" s="35">
        <f t="shared" si="38"/>
        <v>11.903533210425</v>
      </c>
      <c r="R288" s="35">
        <f t="shared" si="32"/>
        <v>14.2780359281437</v>
      </c>
      <c r="S288" s="33">
        <f t="shared" si="33"/>
        <v>860.28</v>
      </c>
      <c r="T288" s="36">
        <f t="shared" si="34"/>
        <v>1090.35</v>
      </c>
    </row>
    <row r="289" spans="1:20">
      <c r="A289" s="37">
        <v>45526</v>
      </c>
      <c r="B289" s="38" t="s">
        <v>516</v>
      </c>
      <c r="C289" s="38" t="s">
        <v>517</v>
      </c>
      <c r="D289" s="38" t="s">
        <v>518</v>
      </c>
      <c r="E289" s="38" t="s">
        <v>1571</v>
      </c>
      <c r="F289" s="38">
        <f t="shared" si="35"/>
        <v>2024</v>
      </c>
      <c r="G289" s="38" t="str">
        <f t="shared" si="36"/>
        <v>August</v>
      </c>
      <c r="H289" s="30">
        <v>138420</v>
      </c>
      <c r="I289" s="30">
        <v>9190</v>
      </c>
      <c r="J289" s="39">
        <v>1758</v>
      </c>
      <c r="K289" s="39">
        <v>895</v>
      </c>
      <c r="L289" s="39">
        <v>476</v>
      </c>
      <c r="M289" s="40">
        <v>121775.58</v>
      </c>
      <c r="N289" s="40">
        <v>3796435.52</v>
      </c>
      <c r="O289" s="33">
        <f t="shared" si="39"/>
        <v>6.64</v>
      </c>
      <c r="P289" s="34">
        <f t="shared" si="37"/>
        <v>69.269385665529</v>
      </c>
      <c r="Q289" s="35">
        <f t="shared" si="38"/>
        <v>31.1756718383111</v>
      </c>
      <c r="R289" s="35">
        <f t="shared" si="32"/>
        <v>13.2508792165397</v>
      </c>
      <c r="S289" s="33">
        <f t="shared" si="33"/>
        <v>879.75</v>
      </c>
      <c r="T289" s="36">
        <f t="shared" si="34"/>
        <v>3017.57</v>
      </c>
    </row>
    <row r="290" spans="1:20">
      <c r="A290" s="28">
        <v>45527</v>
      </c>
      <c r="B290" s="29" t="s">
        <v>144</v>
      </c>
      <c r="C290" s="29" t="s">
        <v>145</v>
      </c>
      <c r="D290" s="29" t="s">
        <v>146</v>
      </c>
      <c r="E290" s="29" t="s">
        <v>1571</v>
      </c>
      <c r="F290" s="29">
        <f t="shared" si="35"/>
        <v>2024</v>
      </c>
      <c r="G290" s="29" t="str">
        <f t="shared" si="36"/>
        <v>August</v>
      </c>
      <c r="H290" s="30">
        <v>212121</v>
      </c>
      <c r="I290" s="30">
        <v>8521</v>
      </c>
      <c r="J290" s="31">
        <v>1831</v>
      </c>
      <c r="K290" s="31">
        <v>1065</v>
      </c>
      <c r="L290" s="31">
        <v>523</v>
      </c>
      <c r="M290" s="32">
        <v>210422.93</v>
      </c>
      <c r="N290" s="32">
        <v>1816349.21</v>
      </c>
      <c r="O290" s="33">
        <f t="shared" si="39"/>
        <v>4.02</v>
      </c>
      <c r="P290" s="34">
        <f t="shared" si="37"/>
        <v>114.922408519934</v>
      </c>
      <c r="Q290" s="35">
        <f t="shared" si="38"/>
        <v>8.63189772141278</v>
      </c>
      <c r="R290" s="35">
        <f t="shared" si="32"/>
        <v>24.6946285647224</v>
      </c>
      <c r="S290" s="33">
        <f t="shared" si="33"/>
        <v>991.99</v>
      </c>
      <c r="T290" s="36">
        <f t="shared" si="34"/>
        <v>763.19</v>
      </c>
    </row>
    <row r="291" spans="1:20">
      <c r="A291" s="37">
        <v>45527</v>
      </c>
      <c r="B291" s="38" t="s">
        <v>516</v>
      </c>
      <c r="C291" s="38" t="s">
        <v>517</v>
      </c>
      <c r="D291" s="38" t="s">
        <v>518</v>
      </c>
      <c r="E291" s="38" t="s">
        <v>1572</v>
      </c>
      <c r="F291" s="38">
        <f t="shared" si="35"/>
        <v>2024</v>
      </c>
      <c r="G291" s="38" t="str">
        <f t="shared" si="36"/>
        <v>August</v>
      </c>
      <c r="H291" s="30">
        <v>174155</v>
      </c>
      <c r="I291" s="30">
        <v>7729</v>
      </c>
      <c r="J291" s="39">
        <v>1269</v>
      </c>
      <c r="K291" s="39">
        <v>726</v>
      </c>
      <c r="L291" s="39">
        <v>423</v>
      </c>
      <c r="M291" s="40">
        <v>114529.99</v>
      </c>
      <c r="N291" s="40">
        <v>1755445.01</v>
      </c>
      <c r="O291" s="33">
        <f t="shared" si="39"/>
        <v>4.44</v>
      </c>
      <c r="P291" s="34">
        <f t="shared" si="37"/>
        <v>90.2521591804571</v>
      </c>
      <c r="Q291" s="35">
        <f t="shared" si="38"/>
        <v>15.3273828977022</v>
      </c>
      <c r="R291" s="35">
        <f t="shared" si="32"/>
        <v>14.8182158105835</v>
      </c>
      <c r="S291" s="33">
        <f t="shared" si="33"/>
        <v>657.63</v>
      </c>
      <c r="T291" s="36">
        <f t="shared" si="34"/>
        <v>1432.74</v>
      </c>
    </row>
    <row r="292" spans="1:20">
      <c r="A292" s="28">
        <v>45528</v>
      </c>
      <c r="B292" s="29" t="s">
        <v>144</v>
      </c>
      <c r="C292" s="29" t="s">
        <v>145</v>
      </c>
      <c r="D292" s="29" t="s">
        <v>146</v>
      </c>
      <c r="E292" s="29" t="s">
        <v>1571</v>
      </c>
      <c r="F292" s="29">
        <f t="shared" si="35"/>
        <v>2024</v>
      </c>
      <c r="G292" s="29" t="str">
        <f t="shared" si="36"/>
        <v>August</v>
      </c>
      <c r="H292" s="30">
        <v>298055</v>
      </c>
      <c r="I292" s="30">
        <v>23238</v>
      </c>
      <c r="J292" s="31">
        <v>3774</v>
      </c>
      <c r="K292" s="31">
        <v>2035</v>
      </c>
      <c r="L292" s="31">
        <v>1015</v>
      </c>
      <c r="M292" s="32">
        <v>255249.45</v>
      </c>
      <c r="N292" s="32">
        <v>5574248.14</v>
      </c>
      <c r="O292" s="33">
        <f t="shared" si="39"/>
        <v>7.8</v>
      </c>
      <c r="P292" s="34">
        <f t="shared" si="37"/>
        <v>67.6336645468999</v>
      </c>
      <c r="Q292" s="35">
        <f t="shared" si="38"/>
        <v>21.838433501032</v>
      </c>
      <c r="R292" s="35">
        <f t="shared" si="32"/>
        <v>10.9841402013943</v>
      </c>
      <c r="S292" s="33">
        <f t="shared" si="33"/>
        <v>856.38</v>
      </c>
      <c r="T292" s="36">
        <f t="shared" si="34"/>
        <v>2083.84</v>
      </c>
    </row>
    <row r="293" spans="1:20">
      <c r="A293" s="37">
        <v>45528</v>
      </c>
      <c r="B293" s="38" t="s">
        <v>516</v>
      </c>
      <c r="C293" s="38" t="s">
        <v>517</v>
      </c>
      <c r="D293" s="38" t="s">
        <v>518</v>
      </c>
      <c r="E293" s="38" t="s">
        <v>1571</v>
      </c>
      <c r="F293" s="38">
        <f t="shared" si="35"/>
        <v>2024</v>
      </c>
      <c r="G293" s="38" t="str">
        <f t="shared" si="36"/>
        <v>August</v>
      </c>
      <c r="H293" s="30">
        <v>73433</v>
      </c>
      <c r="I293" s="30">
        <v>3246</v>
      </c>
      <c r="J293" s="39">
        <v>574</v>
      </c>
      <c r="K293" s="39">
        <v>335</v>
      </c>
      <c r="L293" s="39">
        <v>163</v>
      </c>
      <c r="M293" s="40">
        <v>43645.42</v>
      </c>
      <c r="N293" s="40">
        <v>1029954.06</v>
      </c>
      <c r="O293" s="33">
        <f t="shared" si="39"/>
        <v>4.42</v>
      </c>
      <c r="P293" s="34">
        <f t="shared" si="37"/>
        <v>76.0373170731707</v>
      </c>
      <c r="Q293" s="35">
        <f t="shared" si="38"/>
        <v>23.5982162618667</v>
      </c>
      <c r="R293" s="35">
        <f t="shared" ref="R293:R356" si="40">(M293/I293)</f>
        <v>13.4459088108441</v>
      </c>
      <c r="S293" s="33">
        <f t="shared" si="33"/>
        <v>594.36</v>
      </c>
      <c r="T293" s="36">
        <f t="shared" si="34"/>
        <v>2259.82</v>
      </c>
    </row>
    <row r="294" spans="1:20">
      <c r="A294" s="28">
        <v>45529</v>
      </c>
      <c r="B294" s="29" t="s">
        <v>144</v>
      </c>
      <c r="C294" s="29" t="s">
        <v>145</v>
      </c>
      <c r="D294" s="29" t="s">
        <v>146</v>
      </c>
      <c r="E294" s="29" t="s">
        <v>1571</v>
      </c>
      <c r="F294" s="29">
        <f t="shared" si="35"/>
        <v>2024</v>
      </c>
      <c r="G294" s="29" t="str">
        <f t="shared" si="36"/>
        <v>August</v>
      </c>
      <c r="H294" s="30">
        <v>273318</v>
      </c>
      <c r="I294" s="30">
        <v>12830</v>
      </c>
      <c r="J294" s="31">
        <v>2725</v>
      </c>
      <c r="K294" s="31">
        <v>1477</v>
      </c>
      <c r="L294" s="31">
        <v>719</v>
      </c>
      <c r="M294" s="32">
        <v>249800.87</v>
      </c>
      <c r="N294" s="32">
        <v>3360100.1</v>
      </c>
      <c r="O294" s="33">
        <f t="shared" si="39"/>
        <v>4.69</v>
      </c>
      <c r="P294" s="34">
        <f t="shared" si="37"/>
        <v>91.6700440366972</v>
      </c>
      <c r="Q294" s="35">
        <f t="shared" si="38"/>
        <v>13.451114481707</v>
      </c>
      <c r="R294" s="35">
        <f t="shared" si="40"/>
        <v>19.4700600155885</v>
      </c>
      <c r="S294" s="33">
        <f t="shared" si="33"/>
        <v>913.96</v>
      </c>
      <c r="T294" s="36">
        <f t="shared" si="34"/>
        <v>1245.11</v>
      </c>
    </row>
    <row r="295" spans="1:20">
      <c r="A295" s="37">
        <v>45529</v>
      </c>
      <c r="B295" s="38" t="s">
        <v>516</v>
      </c>
      <c r="C295" s="38" t="s">
        <v>517</v>
      </c>
      <c r="D295" s="38" t="s">
        <v>518</v>
      </c>
      <c r="E295" s="38" t="s">
        <v>1571</v>
      </c>
      <c r="F295" s="38">
        <f t="shared" si="35"/>
        <v>2024</v>
      </c>
      <c r="G295" s="38" t="str">
        <f t="shared" si="36"/>
        <v>August</v>
      </c>
      <c r="H295" s="30">
        <v>190927</v>
      </c>
      <c r="I295" s="30">
        <v>8324</v>
      </c>
      <c r="J295" s="39">
        <v>1746</v>
      </c>
      <c r="K295" s="39">
        <v>1040</v>
      </c>
      <c r="L295" s="39">
        <v>502</v>
      </c>
      <c r="M295" s="40">
        <v>153681.46</v>
      </c>
      <c r="N295" s="40">
        <v>1737263.59</v>
      </c>
      <c r="O295" s="33">
        <f t="shared" si="39"/>
        <v>4.36</v>
      </c>
      <c r="P295" s="34">
        <f t="shared" si="37"/>
        <v>88.0191638029782</v>
      </c>
      <c r="Q295" s="35">
        <f t="shared" si="38"/>
        <v>11.3043147169476</v>
      </c>
      <c r="R295" s="35">
        <f t="shared" si="40"/>
        <v>18.4624531475252</v>
      </c>
      <c r="S295" s="33">
        <f t="shared" si="33"/>
        <v>804.92</v>
      </c>
      <c r="T295" s="36">
        <f t="shared" si="34"/>
        <v>1030.43</v>
      </c>
    </row>
    <row r="296" spans="1:20">
      <c r="A296" s="28">
        <v>45530</v>
      </c>
      <c r="B296" s="29" t="s">
        <v>144</v>
      </c>
      <c r="C296" s="29" t="s">
        <v>145</v>
      </c>
      <c r="D296" s="29" t="s">
        <v>146</v>
      </c>
      <c r="E296" s="29" t="s">
        <v>1571</v>
      </c>
      <c r="F296" s="29">
        <f t="shared" si="35"/>
        <v>2024</v>
      </c>
      <c r="G296" s="29" t="str">
        <f t="shared" si="36"/>
        <v>August</v>
      </c>
      <c r="H296" s="30">
        <v>280548</v>
      </c>
      <c r="I296" s="30">
        <v>22400</v>
      </c>
      <c r="J296" s="31">
        <v>3381</v>
      </c>
      <c r="K296" s="31">
        <v>2001</v>
      </c>
      <c r="L296" s="31">
        <v>1115</v>
      </c>
      <c r="M296" s="32">
        <v>243363.91</v>
      </c>
      <c r="N296" s="32">
        <v>7580435.6</v>
      </c>
      <c r="O296" s="33">
        <f t="shared" si="39"/>
        <v>7.98</v>
      </c>
      <c r="P296" s="34">
        <f t="shared" si="37"/>
        <v>71.9798609878734</v>
      </c>
      <c r="Q296" s="35">
        <f t="shared" si="38"/>
        <v>31.1485610171204</v>
      </c>
      <c r="R296" s="35">
        <f t="shared" si="40"/>
        <v>10.8644602678571</v>
      </c>
      <c r="S296" s="33">
        <f t="shared" si="33"/>
        <v>867.46</v>
      </c>
      <c r="T296" s="36">
        <f t="shared" si="34"/>
        <v>3014.86</v>
      </c>
    </row>
    <row r="297" spans="1:20">
      <c r="A297" s="37">
        <v>45530</v>
      </c>
      <c r="B297" s="38" t="s">
        <v>516</v>
      </c>
      <c r="C297" s="38" t="s">
        <v>517</v>
      </c>
      <c r="D297" s="38" t="s">
        <v>518</v>
      </c>
      <c r="E297" s="38" t="s">
        <v>1571</v>
      </c>
      <c r="F297" s="38">
        <f t="shared" si="35"/>
        <v>2024</v>
      </c>
      <c r="G297" s="38" t="str">
        <f t="shared" si="36"/>
        <v>August</v>
      </c>
      <c r="H297" s="30">
        <v>285397</v>
      </c>
      <c r="I297" s="30">
        <v>15333</v>
      </c>
      <c r="J297" s="39">
        <v>2569</v>
      </c>
      <c r="K297" s="39">
        <v>1619</v>
      </c>
      <c r="L297" s="39">
        <v>881</v>
      </c>
      <c r="M297" s="40">
        <v>167612.44</v>
      </c>
      <c r="N297" s="40">
        <v>5312696.48</v>
      </c>
      <c r="O297" s="33">
        <f t="shared" si="39"/>
        <v>5.37</v>
      </c>
      <c r="P297" s="34">
        <f t="shared" si="37"/>
        <v>65.2442351109381</v>
      </c>
      <c r="Q297" s="35">
        <f t="shared" si="38"/>
        <v>31.6963137103666</v>
      </c>
      <c r="R297" s="35">
        <f t="shared" si="40"/>
        <v>10.9314837279071</v>
      </c>
      <c r="S297" s="33">
        <f t="shared" ref="S297:S360" si="41">ROUND(M297/H297*1000,2)</f>
        <v>587.3</v>
      </c>
      <c r="T297" s="36">
        <f t="shared" si="34"/>
        <v>3069.63</v>
      </c>
    </row>
    <row r="298" spans="1:20">
      <c r="A298" s="28">
        <v>45531</v>
      </c>
      <c r="B298" s="29" t="s">
        <v>144</v>
      </c>
      <c r="C298" s="29" t="s">
        <v>145</v>
      </c>
      <c r="D298" s="29" t="s">
        <v>146</v>
      </c>
      <c r="E298" s="29" t="s">
        <v>1571</v>
      </c>
      <c r="F298" s="29">
        <f t="shared" si="35"/>
        <v>2024</v>
      </c>
      <c r="G298" s="29" t="str">
        <f t="shared" si="36"/>
        <v>August</v>
      </c>
      <c r="H298" s="30">
        <v>230587</v>
      </c>
      <c r="I298" s="30">
        <v>11780</v>
      </c>
      <c r="J298" s="31">
        <v>2103</v>
      </c>
      <c r="K298" s="31">
        <v>985</v>
      </c>
      <c r="L298" s="31">
        <v>557</v>
      </c>
      <c r="M298" s="32">
        <v>170545.05</v>
      </c>
      <c r="N298" s="32">
        <v>2172105.58</v>
      </c>
      <c r="O298" s="33">
        <f t="shared" si="39"/>
        <v>5.11</v>
      </c>
      <c r="P298" s="34">
        <f t="shared" si="37"/>
        <v>81.0960770328103</v>
      </c>
      <c r="Q298" s="35">
        <f t="shared" si="38"/>
        <v>12.7362569596714</v>
      </c>
      <c r="R298" s="35">
        <f t="shared" si="40"/>
        <v>14.4775084889643</v>
      </c>
      <c r="S298" s="33">
        <f t="shared" si="41"/>
        <v>739.61</v>
      </c>
      <c r="T298" s="36">
        <f t="shared" si="34"/>
        <v>1173.63</v>
      </c>
    </row>
    <row r="299" spans="1:20">
      <c r="A299" s="37">
        <v>45531</v>
      </c>
      <c r="B299" s="38" t="s">
        <v>516</v>
      </c>
      <c r="C299" s="38" t="s">
        <v>517</v>
      </c>
      <c r="D299" s="38" t="s">
        <v>518</v>
      </c>
      <c r="E299" s="38" t="s">
        <v>1572</v>
      </c>
      <c r="F299" s="38">
        <f t="shared" si="35"/>
        <v>2024</v>
      </c>
      <c r="G299" s="38" t="str">
        <f t="shared" si="36"/>
        <v>August</v>
      </c>
      <c r="H299" s="30">
        <v>239102</v>
      </c>
      <c r="I299" s="30">
        <v>11777</v>
      </c>
      <c r="J299" s="39">
        <v>2683</v>
      </c>
      <c r="K299" s="39">
        <v>1443</v>
      </c>
      <c r="L299" s="39">
        <v>793</v>
      </c>
      <c r="M299" s="40">
        <v>178773.39</v>
      </c>
      <c r="N299" s="40">
        <v>6237099.54</v>
      </c>
      <c r="O299" s="33">
        <f t="shared" si="39"/>
        <v>4.93</v>
      </c>
      <c r="P299" s="34">
        <f t="shared" si="37"/>
        <v>66.6319008572493</v>
      </c>
      <c r="Q299" s="35">
        <f t="shared" si="38"/>
        <v>34.8882993156867</v>
      </c>
      <c r="R299" s="35">
        <f t="shared" si="40"/>
        <v>15.1798751804364</v>
      </c>
      <c r="S299" s="33">
        <f t="shared" si="41"/>
        <v>747.69</v>
      </c>
      <c r="T299" s="36">
        <f t="shared" si="34"/>
        <v>3388.83</v>
      </c>
    </row>
    <row r="300" spans="1:20">
      <c r="A300" s="28">
        <v>45532</v>
      </c>
      <c r="B300" s="29" t="s">
        <v>144</v>
      </c>
      <c r="C300" s="29" t="s">
        <v>145</v>
      </c>
      <c r="D300" s="29" t="s">
        <v>146</v>
      </c>
      <c r="E300" s="29" t="s">
        <v>1571</v>
      </c>
      <c r="F300" s="29">
        <f t="shared" si="35"/>
        <v>2024</v>
      </c>
      <c r="G300" s="29" t="str">
        <f t="shared" si="36"/>
        <v>August</v>
      </c>
      <c r="H300" s="30">
        <v>122769</v>
      </c>
      <c r="I300" s="30">
        <v>4992</v>
      </c>
      <c r="J300" s="31">
        <v>1154</v>
      </c>
      <c r="K300" s="31">
        <v>639</v>
      </c>
      <c r="L300" s="31">
        <v>335</v>
      </c>
      <c r="M300" s="32">
        <v>76198.02</v>
      </c>
      <c r="N300" s="32">
        <v>1803614.19</v>
      </c>
      <c r="O300" s="33">
        <f t="shared" si="39"/>
        <v>4.07</v>
      </c>
      <c r="P300" s="34">
        <f t="shared" si="37"/>
        <v>66.0294800693241</v>
      </c>
      <c r="Q300" s="35">
        <f t="shared" si="38"/>
        <v>23.6700926087056</v>
      </c>
      <c r="R300" s="35">
        <f t="shared" si="40"/>
        <v>15.2640264423077</v>
      </c>
      <c r="S300" s="33">
        <f t="shared" si="41"/>
        <v>620.66</v>
      </c>
      <c r="T300" s="36">
        <f t="shared" si="34"/>
        <v>2267.01</v>
      </c>
    </row>
    <row r="301" spans="1:20">
      <c r="A301" s="37">
        <v>45532</v>
      </c>
      <c r="B301" s="38" t="s">
        <v>516</v>
      </c>
      <c r="C301" s="38" t="s">
        <v>517</v>
      </c>
      <c r="D301" s="38" t="s">
        <v>518</v>
      </c>
      <c r="E301" s="38" t="s">
        <v>1573</v>
      </c>
      <c r="F301" s="38">
        <f t="shared" si="35"/>
        <v>2024</v>
      </c>
      <c r="G301" s="38" t="str">
        <f t="shared" si="36"/>
        <v>August</v>
      </c>
      <c r="H301" s="30">
        <v>118445</v>
      </c>
      <c r="I301" s="30">
        <v>9312</v>
      </c>
      <c r="J301" s="39">
        <v>1796</v>
      </c>
      <c r="K301" s="39">
        <v>862</v>
      </c>
      <c r="L301" s="39">
        <v>394</v>
      </c>
      <c r="M301" s="40">
        <v>53888.89</v>
      </c>
      <c r="N301" s="40">
        <v>1248957.41</v>
      </c>
      <c r="O301" s="33">
        <f t="shared" si="39"/>
        <v>7.86</v>
      </c>
      <c r="P301" s="34">
        <f t="shared" si="37"/>
        <v>30.0049498886414</v>
      </c>
      <c r="Q301" s="35">
        <f t="shared" si="38"/>
        <v>23.1765287798654</v>
      </c>
      <c r="R301" s="35">
        <f t="shared" si="40"/>
        <v>5.78703715635739</v>
      </c>
      <c r="S301" s="33">
        <f t="shared" si="41"/>
        <v>454.97</v>
      </c>
      <c r="T301" s="36">
        <f t="shared" si="34"/>
        <v>2217.65</v>
      </c>
    </row>
    <row r="302" spans="1:20">
      <c r="A302" s="28">
        <v>45533</v>
      </c>
      <c r="B302" s="29" t="s">
        <v>144</v>
      </c>
      <c r="C302" s="29" t="s">
        <v>145</v>
      </c>
      <c r="D302" s="29" t="s">
        <v>146</v>
      </c>
      <c r="E302" s="29" t="s">
        <v>1571</v>
      </c>
      <c r="F302" s="29">
        <f t="shared" si="35"/>
        <v>2024</v>
      </c>
      <c r="G302" s="29" t="str">
        <f t="shared" si="36"/>
        <v>August</v>
      </c>
      <c r="H302" s="30">
        <v>176924</v>
      </c>
      <c r="I302" s="30">
        <v>6002</v>
      </c>
      <c r="J302" s="31">
        <v>1405</v>
      </c>
      <c r="K302" s="31">
        <v>726</v>
      </c>
      <c r="L302" s="31">
        <v>305</v>
      </c>
      <c r="M302" s="32">
        <v>149271.1</v>
      </c>
      <c r="N302" s="32">
        <v>1316066.43</v>
      </c>
      <c r="O302" s="33">
        <f t="shared" si="39"/>
        <v>3.39</v>
      </c>
      <c r="P302" s="34">
        <f t="shared" si="37"/>
        <v>106.242775800712</v>
      </c>
      <c r="Q302" s="35">
        <f t="shared" si="38"/>
        <v>8.81661909103638</v>
      </c>
      <c r="R302" s="35">
        <f t="shared" si="40"/>
        <v>24.8702265911363</v>
      </c>
      <c r="S302" s="33">
        <f t="shared" si="41"/>
        <v>843.7</v>
      </c>
      <c r="T302" s="36">
        <f t="shared" ref="T302:T365" si="42">ROUND((N302-M302)/M302*100,2)</f>
        <v>781.66</v>
      </c>
    </row>
    <row r="303" spans="1:20">
      <c r="A303" s="37">
        <v>45533</v>
      </c>
      <c r="B303" s="38" t="s">
        <v>516</v>
      </c>
      <c r="C303" s="38" t="s">
        <v>517</v>
      </c>
      <c r="D303" s="38" t="s">
        <v>518</v>
      </c>
      <c r="E303" s="38" t="s">
        <v>1571</v>
      </c>
      <c r="F303" s="38">
        <f t="shared" si="35"/>
        <v>2024</v>
      </c>
      <c r="G303" s="38" t="str">
        <f t="shared" si="36"/>
        <v>August</v>
      </c>
      <c r="H303" s="30">
        <v>141835</v>
      </c>
      <c r="I303" s="30">
        <v>4781</v>
      </c>
      <c r="J303" s="39">
        <v>815</v>
      </c>
      <c r="K303" s="39">
        <v>412</v>
      </c>
      <c r="L303" s="39">
        <v>201</v>
      </c>
      <c r="M303" s="40">
        <v>71163.26</v>
      </c>
      <c r="N303" s="40">
        <v>1195976.69</v>
      </c>
      <c r="O303" s="33">
        <f t="shared" si="39"/>
        <v>3.37</v>
      </c>
      <c r="P303" s="34">
        <f t="shared" si="37"/>
        <v>87.3168834355828</v>
      </c>
      <c r="Q303" s="35">
        <f t="shared" si="38"/>
        <v>16.80609755652</v>
      </c>
      <c r="R303" s="35">
        <f t="shared" si="40"/>
        <v>14.8845973645681</v>
      </c>
      <c r="S303" s="33">
        <f t="shared" si="41"/>
        <v>501.73</v>
      </c>
      <c r="T303" s="36">
        <f t="shared" si="42"/>
        <v>1580.61</v>
      </c>
    </row>
    <row r="304" spans="1:20">
      <c r="A304" s="28">
        <v>45534</v>
      </c>
      <c r="B304" s="29" t="s">
        <v>144</v>
      </c>
      <c r="C304" s="29" t="s">
        <v>145</v>
      </c>
      <c r="D304" s="29" t="s">
        <v>146</v>
      </c>
      <c r="E304" s="29" t="s">
        <v>1571</v>
      </c>
      <c r="F304" s="29">
        <f t="shared" si="35"/>
        <v>2024</v>
      </c>
      <c r="G304" s="29" t="str">
        <f t="shared" si="36"/>
        <v>August</v>
      </c>
      <c r="H304" s="30">
        <v>89353</v>
      </c>
      <c r="I304" s="30">
        <v>3461</v>
      </c>
      <c r="J304" s="31">
        <v>777</v>
      </c>
      <c r="K304" s="31">
        <v>423</v>
      </c>
      <c r="L304" s="31">
        <v>218</v>
      </c>
      <c r="M304" s="32">
        <v>68408.44</v>
      </c>
      <c r="N304" s="32">
        <v>1404431.2</v>
      </c>
      <c r="O304" s="33">
        <f t="shared" si="39"/>
        <v>3.87</v>
      </c>
      <c r="P304" s="34">
        <f t="shared" si="37"/>
        <v>88.0417503217503</v>
      </c>
      <c r="Q304" s="35">
        <f t="shared" si="38"/>
        <v>20.5300866384323</v>
      </c>
      <c r="R304" s="35">
        <f t="shared" si="40"/>
        <v>19.7655128575556</v>
      </c>
      <c r="S304" s="33">
        <f t="shared" si="41"/>
        <v>765.6</v>
      </c>
      <c r="T304" s="36">
        <f t="shared" si="42"/>
        <v>1953.01</v>
      </c>
    </row>
    <row r="305" spans="1:20">
      <c r="A305" s="37">
        <v>45534</v>
      </c>
      <c r="B305" s="38" t="s">
        <v>516</v>
      </c>
      <c r="C305" s="38" t="s">
        <v>517</v>
      </c>
      <c r="D305" s="38" t="s">
        <v>518</v>
      </c>
      <c r="E305" s="38" t="s">
        <v>1573</v>
      </c>
      <c r="F305" s="38">
        <f t="shared" si="35"/>
        <v>2024</v>
      </c>
      <c r="G305" s="38" t="str">
        <f t="shared" si="36"/>
        <v>August</v>
      </c>
      <c r="H305" s="30">
        <v>172603</v>
      </c>
      <c r="I305" s="30">
        <v>13771</v>
      </c>
      <c r="J305" s="39">
        <v>3131</v>
      </c>
      <c r="K305" s="39">
        <v>1756</v>
      </c>
      <c r="L305" s="39">
        <v>957</v>
      </c>
      <c r="M305" s="40">
        <v>123949.96</v>
      </c>
      <c r="N305" s="40">
        <v>7284646.5</v>
      </c>
      <c r="O305" s="33">
        <f t="shared" si="39"/>
        <v>7.98</v>
      </c>
      <c r="P305" s="34">
        <f t="shared" si="37"/>
        <v>39.5879782816991</v>
      </c>
      <c r="Q305" s="35">
        <f t="shared" si="38"/>
        <v>58.770866081764</v>
      </c>
      <c r="R305" s="35">
        <f t="shared" si="40"/>
        <v>9.00079587539031</v>
      </c>
      <c r="S305" s="33">
        <f t="shared" si="41"/>
        <v>718.12</v>
      </c>
      <c r="T305" s="36">
        <f t="shared" si="42"/>
        <v>5777.09</v>
      </c>
    </row>
    <row r="306" spans="1:20">
      <c r="A306" s="28">
        <v>45535</v>
      </c>
      <c r="B306" s="29" t="s">
        <v>144</v>
      </c>
      <c r="C306" s="29" t="s">
        <v>145</v>
      </c>
      <c r="D306" s="29" t="s">
        <v>146</v>
      </c>
      <c r="E306" s="29" t="s">
        <v>1571</v>
      </c>
      <c r="F306" s="29">
        <f t="shared" si="35"/>
        <v>2024</v>
      </c>
      <c r="G306" s="29" t="str">
        <f t="shared" si="36"/>
        <v>August</v>
      </c>
      <c r="H306" s="30">
        <v>275170</v>
      </c>
      <c r="I306" s="30">
        <v>8309</v>
      </c>
      <c r="J306" s="31">
        <v>2008</v>
      </c>
      <c r="K306" s="31">
        <v>1217</v>
      </c>
      <c r="L306" s="31">
        <v>654</v>
      </c>
      <c r="M306" s="32">
        <v>116652.11</v>
      </c>
      <c r="N306" s="32">
        <v>2196952.4</v>
      </c>
      <c r="O306" s="33">
        <f t="shared" si="39"/>
        <v>3.02</v>
      </c>
      <c r="P306" s="34">
        <f t="shared" si="37"/>
        <v>58.0936802788845</v>
      </c>
      <c r="Q306" s="35">
        <f t="shared" si="38"/>
        <v>18.8333704379629</v>
      </c>
      <c r="R306" s="35">
        <f t="shared" si="40"/>
        <v>14.0392478035865</v>
      </c>
      <c r="S306" s="33">
        <f t="shared" si="41"/>
        <v>423.93</v>
      </c>
      <c r="T306" s="36">
        <f t="shared" si="42"/>
        <v>1783.34</v>
      </c>
    </row>
    <row r="307" spans="1:20">
      <c r="A307" s="37">
        <v>45535</v>
      </c>
      <c r="B307" s="38" t="s">
        <v>516</v>
      </c>
      <c r="C307" s="38" t="s">
        <v>517</v>
      </c>
      <c r="D307" s="38" t="s">
        <v>518</v>
      </c>
      <c r="E307" s="38" t="s">
        <v>1573</v>
      </c>
      <c r="F307" s="38">
        <f t="shared" si="35"/>
        <v>2024</v>
      </c>
      <c r="G307" s="38" t="str">
        <f t="shared" si="36"/>
        <v>August</v>
      </c>
      <c r="H307" s="30">
        <v>188007</v>
      </c>
      <c r="I307" s="30">
        <v>12565</v>
      </c>
      <c r="J307" s="39">
        <v>2831</v>
      </c>
      <c r="K307" s="39">
        <v>1364</v>
      </c>
      <c r="L307" s="39">
        <v>556</v>
      </c>
      <c r="M307" s="40">
        <v>100933.35</v>
      </c>
      <c r="N307" s="40">
        <v>2063936.01</v>
      </c>
      <c r="O307" s="33">
        <f t="shared" si="39"/>
        <v>6.68</v>
      </c>
      <c r="P307" s="34">
        <f t="shared" si="37"/>
        <v>35.6528965030025</v>
      </c>
      <c r="Q307" s="35">
        <f t="shared" si="38"/>
        <v>20.4485039880277</v>
      </c>
      <c r="R307" s="35">
        <f t="shared" si="40"/>
        <v>8.03289693593315</v>
      </c>
      <c r="S307" s="33">
        <f t="shared" si="41"/>
        <v>536.86</v>
      </c>
      <c r="T307" s="36">
        <f t="shared" si="42"/>
        <v>1944.85</v>
      </c>
    </row>
    <row r="308" spans="1:20">
      <c r="A308" s="28">
        <v>45300</v>
      </c>
      <c r="B308" s="29" t="s">
        <v>516</v>
      </c>
      <c r="C308" s="29" t="s">
        <v>517</v>
      </c>
      <c r="D308" s="29" t="s">
        <v>518</v>
      </c>
      <c r="E308" s="29" t="s">
        <v>1573</v>
      </c>
      <c r="F308" s="29">
        <f t="shared" si="35"/>
        <v>2024</v>
      </c>
      <c r="G308" s="29" t="str">
        <f t="shared" si="36"/>
        <v>January</v>
      </c>
      <c r="H308" s="30">
        <v>277995</v>
      </c>
      <c r="I308" s="30">
        <v>17323</v>
      </c>
      <c r="J308" s="31">
        <v>3307</v>
      </c>
      <c r="K308" s="31">
        <v>1962</v>
      </c>
      <c r="L308" s="31">
        <v>807</v>
      </c>
      <c r="M308" s="32">
        <v>119949.55</v>
      </c>
      <c r="N308" s="32">
        <v>3907589.22</v>
      </c>
      <c r="O308" s="33">
        <f t="shared" si="39"/>
        <v>6.23</v>
      </c>
      <c r="P308" s="34">
        <f t="shared" si="37"/>
        <v>36.2714091321439</v>
      </c>
      <c r="Q308" s="35">
        <f t="shared" si="38"/>
        <v>32.5769393882678</v>
      </c>
      <c r="R308" s="35">
        <f t="shared" si="40"/>
        <v>6.92429429082722</v>
      </c>
      <c r="S308" s="33">
        <f t="shared" si="41"/>
        <v>431.48</v>
      </c>
      <c r="T308" s="36">
        <f t="shared" si="42"/>
        <v>3157.69</v>
      </c>
    </row>
    <row r="309" spans="1:20">
      <c r="A309" s="37">
        <v>45331</v>
      </c>
      <c r="B309" s="38" t="s">
        <v>516</v>
      </c>
      <c r="C309" s="38" t="s">
        <v>517</v>
      </c>
      <c r="D309" s="38" t="s">
        <v>518</v>
      </c>
      <c r="E309" s="38" t="s">
        <v>1571</v>
      </c>
      <c r="F309" s="38">
        <f t="shared" si="35"/>
        <v>2024</v>
      </c>
      <c r="G309" s="38" t="str">
        <f t="shared" si="36"/>
        <v>February</v>
      </c>
      <c r="H309" s="30">
        <v>204641</v>
      </c>
      <c r="I309" s="30">
        <v>14981</v>
      </c>
      <c r="J309" s="39">
        <v>3396</v>
      </c>
      <c r="K309" s="39">
        <v>1681</v>
      </c>
      <c r="L309" s="39">
        <v>682</v>
      </c>
      <c r="M309" s="40">
        <v>155414.22</v>
      </c>
      <c r="N309" s="40">
        <v>5373759.1</v>
      </c>
      <c r="O309" s="33">
        <f t="shared" si="39"/>
        <v>7.32</v>
      </c>
      <c r="P309" s="34">
        <f t="shared" si="37"/>
        <v>45.7639045936396</v>
      </c>
      <c r="Q309" s="35">
        <f t="shared" si="38"/>
        <v>34.5770103919706</v>
      </c>
      <c r="R309" s="35">
        <f t="shared" si="40"/>
        <v>10.3740885121153</v>
      </c>
      <c r="S309" s="33">
        <f t="shared" si="41"/>
        <v>759.45</v>
      </c>
      <c r="T309" s="36">
        <f t="shared" si="42"/>
        <v>3357.7</v>
      </c>
    </row>
    <row r="310" spans="1:20">
      <c r="A310" s="28">
        <v>45360</v>
      </c>
      <c r="B310" s="29" t="s">
        <v>516</v>
      </c>
      <c r="C310" s="29" t="s">
        <v>517</v>
      </c>
      <c r="D310" s="29" t="s">
        <v>518</v>
      </c>
      <c r="E310" s="29" t="s">
        <v>1572</v>
      </c>
      <c r="F310" s="29">
        <f t="shared" si="35"/>
        <v>2024</v>
      </c>
      <c r="G310" s="29" t="str">
        <f t="shared" si="36"/>
        <v>March</v>
      </c>
      <c r="H310" s="30">
        <v>80461</v>
      </c>
      <c r="I310" s="30">
        <v>5310</v>
      </c>
      <c r="J310" s="31">
        <v>1043</v>
      </c>
      <c r="K310" s="31">
        <v>626</v>
      </c>
      <c r="L310" s="31">
        <v>251</v>
      </c>
      <c r="M310" s="32">
        <v>56362.02</v>
      </c>
      <c r="N310" s="32">
        <v>988491.69</v>
      </c>
      <c r="O310" s="33">
        <f t="shared" si="39"/>
        <v>6.6</v>
      </c>
      <c r="P310" s="34">
        <f t="shared" si="37"/>
        <v>54.0383700862895</v>
      </c>
      <c r="Q310" s="35">
        <f t="shared" si="38"/>
        <v>17.5382587423233</v>
      </c>
      <c r="R310" s="35">
        <f t="shared" si="40"/>
        <v>10.6143163841808</v>
      </c>
      <c r="S310" s="33">
        <f t="shared" si="41"/>
        <v>700.49</v>
      </c>
      <c r="T310" s="36">
        <f t="shared" si="42"/>
        <v>1653.83</v>
      </c>
    </row>
    <row r="311" spans="1:20">
      <c r="A311" s="37">
        <v>45391</v>
      </c>
      <c r="B311" s="38" t="s">
        <v>516</v>
      </c>
      <c r="C311" s="38" t="s">
        <v>517</v>
      </c>
      <c r="D311" s="38" t="s">
        <v>518</v>
      </c>
      <c r="E311" s="38" t="s">
        <v>1571</v>
      </c>
      <c r="F311" s="38">
        <f t="shared" si="35"/>
        <v>2024</v>
      </c>
      <c r="G311" s="38" t="str">
        <f t="shared" si="36"/>
        <v>April</v>
      </c>
      <c r="H311" s="30">
        <v>225116</v>
      </c>
      <c r="I311" s="30">
        <v>11836</v>
      </c>
      <c r="J311" s="39">
        <v>2871</v>
      </c>
      <c r="K311" s="39">
        <v>1828</v>
      </c>
      <c r="L311" s="39">
        <v>993</v>
      </c>
      <c r="M311" s="40">
        <v>145813.18</v>
      </c>
      <c r="N311" s="40">
        <v>7254951.42</v>
      </c>
      <c r="O311" s="33">
        <f t="shared" si="39"/>
        <v>5.26</v>
      </c>
      <c r="P311" s="34">
        <f t="shared" si="37"/>
        <v>50.7882897944967</v>
      </c>
      <c r="Q311" s="35">
        <f t="shared" si="38"/>
        <v>49.7551141810363</v>
      </c>
      <c r="R311" s="35">
        <f t="shared" si="40"/>
        <v>12.3194643460629</v>
      </c>
      <c r="S311" s="33">
        <f t="shared" si="41"/>
        <v>647.72</v>
      </c>
      <c r="T311" s="36">
        <f t="shared" si="42"/>
        <v>4875.51</v>
      </c>
    </row>
    <row r="312" spans="1:20">
      <c r="A312" s="28">
        <v>45421</v>
      </c>
      <c r="B312" s="29" t="s">
        <v>516</v>
      </c>
      <c r="C312" s="29" t="s">
        <v>517</v>
      </c>
      <c r="D312" s="29" t="s">
        <v>518</v>
      </c>
      <c r="E312" s="29" t="s">
        <v>1571</v>
      </c>
      <c r="F312" s="29">
        <f t="shared" si="35"/>
        <v>2024</v>
      </c>
      <c r="G312" s="29" t="str">
        <f t="shared" si="36"/>
        <v>May</v>
      </c>
      <c r="H312" s="30">
        <v>116737</v>
      </c>
      <c r="I312" s="30">
        <v>9182</v>
      </c>
      <c r="J312" s="31">
        <v>1836</v>
      </c>
      <c r="K312" s="31">
        <v>1173</v>
      </c>
      <c r="L312" s="31">
        <v>621</v>
      </c>
      <c r="M312" s="32">
        <v>99175.68</v>
      </c>
      <c r="N312" s="32">
        <v>2537615.16</v>
      </c>
      <c r="O312" s="33">
        <f t="shared" si="39"/>
        <v>7.87</v>
      </c>
      <c r="P312" s="34">
        <f t="shared" si="37"/>
        <v>54.0172549019608</v>
      </c>
      <c r="Q312" s="35">
        <f t="shared" si="38"/>
        <v>25.587070943199</v>
      </c>
      <c r="R312" s="35">
        <f t="shared" si="40"/>
        <v>10.8010978000436</v>
      </c>
      <c r="S312" s="33">
        <f t="shared" si="41"/>
        <v>849.57</v>
      </c>
      <c r="T312" s="36">
        <f t="shared" si="42"/>
        <v>2458.71</v>
      </c>
    </row>
    <row r="313" spans="1:20">
      <c r="A313" s="37">
        <v>45452</v>
      </c>
      <c r="B313" s="38" t="s">
        <v>516</v>
      </c>
      <c r="C313" s="38" t="s">
        <v>517</v>
      </c>
      <c r="D313" s="38" t="s">
        <v>518</v>
      </c>
      <c r="E313" s="38" t="s">
        <v>1572</v>
      </c>
      <c r="F313" s="38">
        <f t="shared" si="35"/>
        <v>2024</v>
      </c>
      <c r="G313" s="38" t="str">
        <f t="shared" si="36"/>
        <v>June</v>
      </c>
      <c r="H313" s="30">
        <v>63297</v>
      </c>
      <c r="I313" s="30">
        <v>4534</v>
      </c>
      <c r="J313" s="39">
        <v>954</v>
      </c>
      <c r="K313" s="39">
        <v>479</v>
      </c>
      <c r="L313" s="39">
        <v>279</v>
      </c>
      <c r="M313" s="40">
        <v>50866.84</v>
      </c>
      <c r="N313" s="40">
        <v>2142106.16</v>
      </c>
      <c r="O313" s="33">
        <f t="shared" si="39"/>
        <v>7.16</v>
      </c>
      <c r="P313" s="34">
        <f t="shared" si="37"/>
        <v>53.3195387840671</v>
      </c>
      <c r="Q313" s="35">
        <f t="shared" si="38"/>
        <v>42.1120352669834</v>
      </c>
      <c r="R313" s="35">
        <f t="shared" si="40"/>
        <v>11.2189766210851</v>
      </c>
      <c r="S313" s="33">
        <f t="shared" si="41"/>
        <v>803.62</v>
      </c>
      <c r="T313" s="36">
        <f t="shared" si="42"/>
        <v>4111.2</v>
      </c>
    </row>
    <row r="314" spans="1:20">
      <c r="A314" s="28">
        <v>45482</v>
      </c>
      <c r="B314" s="29" t="s">
        <v>516</v>
      </c>
      <c r="C314" s="29" t="s">
        <v>517</v>
      </c>
      <c r="D314" s="29" t="s">
        <v>518</v>
      </c>
      <c r="E314" s="29" t="s">
        <v>1572</v>
      </c>
      <c r="F314" s="29">
        <f t="shared" si="35"/>
        <v>2024</v>
      </c>
      <c r="G314" s="29" t="str">
        <f t="shared" si="36"/>
        <v>July</v>
      </c>
      <c r="H314" s="30">
        <v>58123</v>
      </c>
      <c r="I314" s="30">
        <v>2245</v>
      </c>
      <c r="J314" s="31">
        <v>487</v>
      </c>
      <c r="K314" s="31">
        <v>238</v>
      </c>
      <c r="L314" s="31">
        <v>102</v>
      </c>
      <c r="M314" s="32">
        <v>48037.73</v>
      </c>
      <c r="N314" s="32">
        <v>806657.5</v>
      </c>
      <c r="O314" s="33">
        <f t="shared" si="39"/>
        <v>3.86</v>
      </c>
      <c r="P314" s="34">
        <f t="shared" si="37"/>
        <v>98.6401026694045</v>
      </c>
      <c r="Q314" s="35">
        <f t="shared" si="38"/>
        <v>16.7921652417797</v>
      </c>
      <c r="R314" s="35">
        <f t="shared" si="40"/>
        <v>21.3976525612472</v>
      </c>
      <c r="S314" s="33">
        <f t="shared" si="41"/>
        <v>826.48</v>
      </c>
      <c r="T314" s="36">
        <f t="shared" si="42"/>
        <v>1579.22</v>
      </c>
    </row>
    <row r="315" spans="1:20">
      <c r="A315" s="37">
        <v>45513</v>
      </c>
      <c r="B315" s="38" t="s">
        <v>516</v>
      </c>
      <c r="C315" s="38" t="s">
        <v>517</v>
      </c>
      <c r="D315" s="38" t="s">
        <v>518</v>
      </c>
      <c r="E315" s="38" t="s">
        <v>1571</v>
      </c>
      <c r="F315" s="38">
        <f t="shared" si="35"/>
        <v>2024</v>
      </c>
      <c r="G315" s="38" t="str">
        <f t="shared" si="36"/>
        <v>August</v>
      </c>
      <c r="H315" s="30">
        <v>245747</v>
      </c>
      <c r="I315" s="30">
        <v>19560</v>
      </c>
      <c r="J315" s="39">
        <v>3600</v>
      </c>
      <c r="K315" s="39">
        <v>2070</v>
      </c>
      <c r="L315" s="39">
        <v>927</v>
      </c>
      <c r="M315" s="40">
        <v>200843.09</v>
      </c>
      <c r="N315" s="40">
        <v>3867146.21</v>
      </c>
      <c r="O315" s="33">
        <f t="shared" si="39"/>
        <v>7.96</v>
      </c>
      <c r="P315" s="34">
        <f t="shared" si="37"/>
        <v>55.7897472222222</v>
      </c>
      <c r="Q315" s="35">
        <f t="shared" si="38"/>
        <v>19.2545643965147</v>
      </c>
      <c r="R315" s="35">
        <f t="shared" si="40"/>
        <v>10.2680516359918</v>
      </c>
      <c r="S315" s="33">
        <f t="shared" si="41"/>
        <v>817.28</v>
      </c>
      <c r="T315" s="36">
        <f t="shared" si="42"/>
        <v>1825.46</v>
      </c>
    </row>
    <row r="316" spans="1:20">
      <c r="A316" s="28">
        <v>45544</v>
      </c>
      <c r="B316" s="29" t="s">
        <v>516</v>
      </c>
      <c r="C316" s="29" t="s">
        <v>517</v>
      </c>
      <c r="D316" s="29" t="s">
        <v>518</v>
      </c>
      <c r="E316" s="29" t="s">
        <v>1571</v>
      </c>
      <c r="F316" s="29">
        <f t="shared" si="35"/>
        <v>2024</v>
      </c>
      <c r="G316" s="29" t="str">
        <f t="shared" si="36"/>
        <v>September</v>
      </c>
      <c r="H316" s="30">
        <v>84497</v>
      </c>
      <c r="I316" s="30">
        <v>2556</v>
      </c>
      <c r="J316" s="31">
        <v>527</v>
      </c>
      <c r="K316" s="31">
        <v>306</v>
      </c>
      <c r="L316" s="31">
        <v>147</v>
      </c>
      <c r="M316" s="32">
        <v>40400.53</v>
      </c>
      <c r="N316" s="32">
        <v>517443.61</v>
      </c>
      <c r="O316" s="33">
        <f t="shared" si="39"/>
        <v>3.02</v>
      </c>
      <c r="P316" s="34">
        <f t="shared" si="37"/>
        <v>76.6613472485768</v>
      </c>
      <c r="Q316" s="35">
        <f t="shared" si="38"/>
        <v>12.8078421248434</v>
      </c>
      <c r="R316" s="35">
        <f t="shared" si="40"/>
        <v>15.8061541471049</v>
      </c>
      <c r="S316" s="33">
        <f t="shared" si="41"/>
        <v>478.13</v>
      </c>
      <c r="T316" s="36">
        <f t="shared" si="42"/>
        <v>1180.78</v>
      </c>
    </row>
    <row r="317" spans="1:20">
      <c r="A317" s="37">
        <v>45574</v>
      </c>
      <c r="B317" s="38" t="s">
        <v>516</v>
      </c>
      <c r="C317" s="38" t="s">
        <v>517</v>
      </c>
      <c r="D317" s="38" t="s">
        <v>518</v>
      </c>
      <c r="E317" s="38" t="s">
        <v>1571</v>
      </c>
      <c r="F317" s="38">
        <f t="shared" si="35"/>
        <v>2024</v>
      </c>
      <c r="G317" s="38" t="str">
        <f t="shared" si="36"/>
        <v>October</v>
      </c>
      <c r="H317" s="30">
        <v>241659</v>
      </c>
      <c r="I317" s="30">
        <v>17679</v>
      </c>
      <c r="J317" s="39">
        <v>2873</v>
      </c>
      <c r="K317" s="39">
        <v>1586</v>
      </c>
      <c r="L317" s="39">
        <v>722</v>
      </c>
      <c r="M317" s="40">
        <v>135221.61</v>
      </c>
      <c r="N317" s="40">
        <v>4879841.23</v>
      </c>
      <c r="O317" s="33">
        <f t="shared" si="39"/>
        <v>7.32</v>
      </c>
      <c r="P317" s="34">
        <f t="shared" si="37"/>
        <v>47.0663452836756</v>
      </c>
      <c r="Q317" s="35">
        <f t="shared" si="38"/>
        <v>36.0877320570285</v>
      </c>
      <c r="R317" s="35">
        <f t="shared" si="40"/>
        <v>7.64871372815204</v>
      </c>
      <c r="S317" s="33">
        <f t="shared" si="41"/>
        <v>559.56</v>
      </c>
      <c r="T317" s="36">
        <f t="shared" si="42"/>
        <v>3508.77</v>
      </c>
    </row>
    <row r="318" spans="1:20">
      <c r="A318" s="28">
        <v>45605</v>
      </c>
      <c r="B318" s="29" t="s">
        <v>516</v>
      </c>
      <c r="C318" s="29" t="s">
        <v>517</v>
      </c>
      <c r="D318" s="29" t="s">
        <v>518</v>
      </c>
      <c r="E318" s="29" t="s">
        <v>1572</v>
      </c>
      <c r="F318" s="29">
        <f t="shared" si="35"/>
        <v>2024</v>
      </c>
      <c r="G318" s="29" t="str">
        <f t="shared" si="36"/>
        <v>November</v>
      </c>
      <c r="H318" s="30">
        <v>65507</v>
      </c>
      <c r="I318" s="30">
        <v>2625</v>
      </c>
      <c r="J318" s="31">
        <v>419</v>
      </c>
      <c r="K318" s="31">
        <v>269</v>
      </c>
      <c r="L318" s="31">
        <v>116</v>
      </c>
      <c r="M318" s="32">
        <v>58810.83</v>
      </c>
      <c r="N318" s="32">
        <v>812926.32</v>
      </c>
      <c r="O318" s="33">
        <f t="shared" si="39"/>
        <v>4.01</v>
      </c>
      <c r="P318" s="34">
        <f t="shared" si="37"/>
        <v>140.359976133652</v>
      </c>
      <c r="Q318" s="35">
        <f t="shared" si="38"/>
        <v>13.8227316295315</v>
      </c>
      <c r="R318" s="35">
        <f t="shared" si="40"/>
        <v>22.4041257142857</v>
      </c>
      <c r="S318" s="33">
        <f t="shared" si="41"/>
        <v>897.78</v>
      </c>
      <c r="T318" s="36">
        <f t="shared" si="42"/>
        <v>1282.27</v>
      </c>
    </row>
    <row r="319" spans="1:20">
      <c r="A319" s="37">
        <v>45635</v>
      </c>
      <c r="B319" s="38" t="s">
        <v>516</v>
      </c>
      <c r="C319" s="38" t="s">
        <v>517</v>
      </c>
      <c r="D319" s="38" t="s">
        <v>518</v>
      </c>
      <c r="E319" s="38" t="s">
        <v>1571</v>
      </c>
      <c r="F319" s="38">
        <f t="shared" si="35"/>
        <v>2024</v>
      </c>
      <c r="G319" s="38" t="str">
        <f t="shared" si="36"/>
        <v>December</v>
      </c>
      <c r="H319" s="30">
        <v>89606</v>
      </c>
      <c r="I319" s="30">
        <v>3064</v>
      </c>
      <c r="J319" s="39">
        <v>523</v>
      </c>
      <c r="K319" s="39">
        <v>302</v>
      </c>
      <c r="L319" s="39">
        <v>174</v>
      </c>
      <c r="M319" s="40">
        <v>82237.51</v>
      </c>
      <c r="N319" s="40">
        <v>1090015.64</v>
      </c>
      <c r="O319" s="33">
        <f t="shared" si="39"/>
        <v>3.42</v>
      </c>
      <c r="P319" s="34">
        <f t="shared" si="37"/>
        <v>157.24189292543</v>
      </c>
      <c r="Q319" s="35">
        <f t="shared" si="38"/>
        <v>13.2544825347946</v>
      </c>
      <c r="R319" s="35">
        <f t="shared" si="40"/>
        <v>26.8399184073107</v>
      </c>
      <c r="S319" s="33">
        <f t="shared" si="41"/>
        <v>917.77</v>
      </c>
      <c r="T319" s="36">
        <f t="shared" si="42"/>
        <v>1225.45</v>
      </c>
    </row>
    <row r="320" spans="1:20">
      <c r="A320" s="28">
        <v>45548</v>
      </c>
      <c r="B320" s="29" t="s">
        <v>516</v>
      </c>
      <c r="C320" s="29" t="s">
        <v>517</v>
      </c>
      <c r="D320" s="29" t="s">
        <v>518</v>
      </c>
      <c r="E320" s="29" t="s">
        <v>1573</v>
      </c>
      <c r="F320" s="29">
        <f t="shared" si="35"/>
        <v>2024</v>
      </c>
      <c r="G320" s="29" t="str">
        <f t="shared" si="36"/>
        <v>September</v>
      </c>
      <c r="H320" s="30">
        <v>288944</v>
      </c>
      <c r="I320" s="30">
        <v>22296</v>
      </c>
      <c r="J320" s="31">
        <v>3936</v>
      </c>
      <c r="K320" s="31">
        <v>2456</v>
      </c>
      <c r="L320" s="31">
        <v>1336</v>
      </c>
      <c r="M320" s="32">
        <v>268441.11</v>
      </c>
      <c r="N320" s="32">
        <v>10200618.61</v>
      </c>
      <c r="O320" s="33">
        <f t="shared" si="39"/>
        <v>7.72</v>
      </c>
      <c r="P320" s="34">
        <f t="shared" si="37"/>
        <v>68.2015015243902</v>
      </c>
      <c r="Q320" s="35">
        <f t="shared" si="38"/>
        <v>37.9994651713368</v>
      </c>
      <c r="R320" s="35">
        <f t="shared" si="40"/>
        <v>12.0398775565124</v>
      </c>
      <c r="S320" s="33">
        <f t="shared" si="41"/>
        <v>929.04</v>
      </c>
      <c r="T320" s="36">
        <f t="shared" si="42"/>
        <v>3699.95</v>
      </c>
    </row>
    <row r="321" spans="1:20">
      <c r="A321" s="37">
        <v>45549</v>
      </c>
      <c r="B321" s="38" t="s">
        <v>516</v>
      </c>
      <c r="C321" s="38" t="s">
        <v>517</v>
      </c>
      <c r="D321" s="38" t="s">
        <v>518</v>
      </c>
      <c r="E321" s="38" t="s">
        <v>1573</v>
      </c>
      <c r="F321" s="38">
        <f t="shared" si="35"/>
        <v>2024</v>
      </c>
      <c r="G321" s="38" t="str">
        <f t="shared" si="36"/>
        <v>September</v>
      </c>
      <c r="H321" s="30">
        <v>61065</v>
      </c>
      <c r="I321" s="30">
        <v>3349</v>
      </c>
      <c r="J321" s="39">
        <v>511</v>
      </c>
      <c r="K321" s="39">
        <v>253</v>
      </c>
      <c r="L321" s="39">
        <v>103</v>
      </c>
      <c r="M321" s="40">
        <v>50674.5</v>
      </c>
      <c r="N321" s="40">
        <v>618470.9</v>
      </c>
      <c r="O321" s="33">
        <f t="shared" si="39"/>
        <v>5.48</v>
      </c>
      <c r="P321" s="34">
        <f t="shared" si="37"/>
        <v>99.1673189823875</v>
      </c>
      <c r="Q321" s="35">
        <f t="shared" si="38"/>
        <v>12.2047755774601</v>
      </c>
      <c r="R321" s="35">
        <f t="shared" si="40"/>
        <v>15.1312332039415</v>
      </c>
      <c r="S321" s="33">
        <f t="shared" si="41"/>
        <v>829.85</v>
      </c>
      <c r="T321" s="36">
        <f t="shared" si="42"/>
        <v>1120.48</v>
      </c>
    </row>
    <row r="322" spans="1:20">
      <c r="A322" s="28">
        <v>45550</v>
      </c>
      <c r="B322" s="29" t="s">
        <v>516</v>
      </c>
      <c r="C322" s="29" t="s">
        <v>517</v>
      </c>
      <c r="D322" s="29" t="s">
        <v>518</v>
      </c>
      <c r="E322" s="29" t="s">
        <v>1571</v>
      </c>
      <c r="F322" s="29">
        <f t="shared" ref="F322:F385" si="43">YEAR(A322)</f>
        <v>2024</v>
      </c>
      <c r="G322" s="29" t="str">
        <f t="shared" ref="G322:G385" si="44">TEXT(A322,"mmmm")</f>
        <v>September</v>
      </c>
      <c r="H322" s="30">
        <v>52998</v>
      </c>
      <c r="I322" s="30">
        <v>2691</v>
      </c>
      <c r="J322" s="31">
        <v>556</v>
      </c>
      <c r="K322" s="31">
        <v>360</v>
      </c>
      <c r="L322" s="31">
        <v>169</v>
      </c>
      <c r="M322" s="32">
        <v>42374.05</v>
      </c>
      <c r="N322" s="32">
        <v>1263776.46</v>
      </c>
      <c r="O322" s="33">
        <f t="shared" si="39"/>
        <v>5.08</v>
      </c>
      <c r="P322" s="34">
        <f t="shared" ref="P322:P385" si="45">M322/J322</f>
        <v>76.2123201438849</v>
      </c>
      <c r="Q322" s="35">
        <f t="shared" ref="Q322:Q385" si="46">N322/M322</f>
        <v>29.8243019017535</v>
      </c>
      <c r="R322" s="35">
        <f t="shared" si="40"/>
        <v>15.7465811965812</v>
      </c>
      <c r="S322" s="33">
        <f t="shared" si="41"/>
        <v>799.54</v>
      </c>
      <c r="T322" s="36">
        <f t="shared" si="42"/>
        <v>2882.43</v>
      </c>
    </row>
    <row r="323" spans="1:20">
      <c r="A323" s="37">
        <v>45551</v>
      </c>
      <c r="B323" s="38" t="s">
        <v>516</v>
      </c>
      <c r="C323" s="38" t="s">
        <v>517</v>
      </c>
      <c r="D323" s="38" t="s">
        <v>518</v>
      </c>
      <c r="E323" s="38" t="s">
        <v>1571</v>
      </c>
      <c r="F323" s="38">
        <f t="shared" si="43"/>
        <v>2024</v>
      </c>
      <c r="G323" s="38" t="str">
        <f t="shared" si="44"/>
        <v>September</v>
      </c>
      <c r="H323" s="30">
        <v>188733</v>
      </c>
      <c r="I323" s="30">
        <v>6063</v>
      </c>
      <c r="J323" s="39">
        <v>1486</v>
      </c>
      <c r="K323" s="39">
        <v>848</v>
      </c>
      <c r="L323" s="39">
        <v>495</v>
      </c>
      <c r="M323" s="40">
        <v>117044.6</v>
      </c>
      <c r="N323" s="40">
        <v>1718164.73</v>
      </c>
      <c r="O323" s="33">
        <f t="shared" ref="O323:O386" si="47">ROUND(I323/H323*100,2)</f>
        <v>3.21</v>
      </c>
      <c r="P323" s="34">
        <f t="shared" si="45"/>
        <v>78.7648721399731</v>
      </c>
      <c r="Q323" s="35">
        <f t="shared" si="46"/>
        <v>14.6795728295026</v>
      </c>
      <c r="R323" s="35">
        <f t="shared" si="40"/>
        <v>19.3047336302161</v>
      </c>
      <c r="S323" s="33">
        <f t="shared" si="41"/>
        <v>620.16</v>
      </c>
      <c r="T323" s="36">
        <f t="shared" si="42"/>
        <v>1367.96</v>
      </c>
    </row>
    <row r="324" spans="1:20">
      <c r="A324" s="28">
        <v>45552</v>
      </c>
      <c r="B324" s="29" t="s">
        <v>516</v>
      </c>
      <c r="C324" s="29" t="s">
        <v>517</v>
      </c>
      <c r="D324" s="29" t="s">
        <v>518</v>
      </c>
      <c r="E324" s="29" t="s">
        <v>1572</v>
      </c>
      <c r="F324" s="29">
        <f t="shared" si="43"/>
        <v>2024</v>
      </c>
      <c r="G324" s="29" t="str">
        <f t="shared" si="44"/>
        <v>September</v>
      </c>
      <c r="H324" s="30">
        <v>264523</v>
      </c>
      <c r="I324" s="30">
        <v>8422</v>
      </c>
      <c r="J324" s="31">
        <v>1397</v>
      </c>
      <c r="K324" s="31">
        <v>690</v>
      </c>
      <c r="L324" s="31">
        <v>285</v>
      </c>
      <c r="M324" s="32">
        <v>174372.08</v>
      </c>
      <c r="N324" s="32">
        <v>2190322.56</v>
      </c>
      <c r="O324" s="33">
        <f t="shared" si="47"/>
        <v>3.18</v>
      </c>
      <c r="P324" s="34">
        <f t="shared" si="45"/>
        <v>124.818954903364</v>
      </c>
      <c r="Q324" s="35">
        <f t="shared" si="46"/>
        <v>12.561199935219</v>
      </c>
      <c r="R324" s="35">
        <f t="shared" si="40"/>
        <v>20.7043552600332</v>
      </c>
      <c r="S324" s="33">
        <f t="shared" si="41"/>
        <v>659.19</v>
      </c>
      <c r="T324" s="36">
        <f t="shared" si="42"/>
        <v>1156.12</v>
      </c>
    </row>
    <row r="325" spans="1:20">
      <c r="A325" s="37">
        <v>45553</v>
      </c>
      <c r="B325" s="38" t="s">
        <v>516</v>
      </c>
      <c r="C325" s="38" t="s">
        <v>517</v>
      </c>
      <c r="D325" s="38" t="s">
        <v>518</v>
      </c>
      <c r="E325" s="38" t="s">
        <v>1571</v>
      </c>
      <c r="F325" s="38">
        <f t="shared" si="43"/>
        <v>2024</v>
      </c>
      <c r="G325" s="38" t="str">
        <f t="shared" si="44"/>
        <v>September</v>
      </c>
      <c r="H325" s="30">
        <v>99863</v>
      </c>
      <c r="I325" s="30">
        <v>5899</v>
      </c>
      <c r="J325" s="39">
        <v>1473</v>
      </c>
      <c r="K325" s="39">
        <v>894</v>
      </c>
      <c r="L325" s="39">
        <v>463</v>
      </c>
      <c r="M325" s="40">
        <v>73758.95</v>
      </c>
      <c r="N325" s="40">
        <v>1765141.51</v>
      </c>
      <c r="O325" s="33">
        <f t="shared" si="47"/>
        <v>5.91</v>
      </c>
      <c r="P325" s="34">
        <f t="shared" si="45"/>
        <v>50.0739646978954</v>
      </c>
      <c r="Q325" s="35">
        <f t="shared" si="46"/>
        <v>23.9312179742255</v>
      </c>
      <c r="R325" s="35">
        <f t="shared" si="40"/>
        <v>12.503636209527</v>
      </c>
      <c r="S325" s="33">
        <f t="shared" si="41"/>
        <v>738.6</v>
      </c>
      <c r="T325" s="36">
        <f t="shared" si="42"/>
        <v>2293.12</v>
      </c>
    </row>
    <row r="326" spans="1:20">
      <c r="A326" s="28">
        <v>45554</v>
      </c>
      <c r="B326" s="29" t="s">
        <v>516</v>
      </c>
      <c r="C326" s="29" t="s">
        <v>517</v>
      </c>
      <c r="D326" s="29" t="s">
        <v>518</v>
      </c>
      <c r="E326" s="29" t="s">
        <v>1573</v>
      </c>
      <c r="F326" s="29">
        <f t="shared" si="43"/>
        <v>2024</v>
      </c>
      <c r="G326" s="29" t="str">
        <f t="shared" si="44"/>
        <v>September</v>
      </c>
      <c r="H326" s="30">
        <v>76229</v>
      </c>
      <c r="I326" s="30">
        <v>4994</v>
      </c>
      <c r="J326" s="31">
        <v>1189</v>
      </c>
      <c r="K326" s="31">
        <v>748</v>
      </c>
      <c r="L326" s="31">
        <v>448</v>
      </c>
      <c r="M326" s="32">
        <v>38131.31</v>
      </c>
      <c r="N326" s="32">
        <v>2070391.74</v>
      </c>
      <c r="O326" s="33">
        <f t="shared" si="47"/>
        <v>6.55</v>
      </c>
      <c r="P326" s="34">
        <f t="shared" si="45"/>
        <v>32.0700672834315</v>
      </c>
      <c r="Q326" s="35">
        <f t="shared" si="46"/>
        <v>54.2963706203642</v>
      </c>
      <c r="R326" s="35">
        <f t="shared" si="40"/>
        <v>7.63542450941129</v>
      </c>
      <c r="S326" s="33">
        <f t="shared" si="41"/>
        <v>500.22</v>
      </c>
      <c r="T326" s="36">
        <f t="shared" si="42"/>
        <v>5329.64</v>
      </c>
    </row>
    <row r="327" spans="1:20">
      <c r="A327" s="37">
        <v>45555</v>
      </c>
      <c r="B327" s="38" t="s">
        <v>516</v>
      </c>
      <c r="C327" s="38" t="s">
        <v>517</v>
      </c>
      <c r="D327" s="38" t="s">
        <v>518</v>
      </c>
      <c r="E327" s="38" t="s">
        <v>1571</v>
      </c>
      <c r="F327" s="38">
        <f t="shared" si="43"/>
        <v>2024</v>
      </c>
      <c r="G327" s="38" t="str">
        <f t="shared" si="44"/>
        <v>September</v>
      </c>
      <c r="H327" s="30">
        <v>121757</v>
      </c>
      <c r="I327" s="30">
        <v>6018</v>
      </c>
      <c r="J327" s="39">
        <v>1136</v>
      </c>
      <c r="K327" s="39">
        <v>664</v>
      </c>
      <c r="L327" s="39">
        <v>374</v>
      </c>
      <c r="M327" s="40">
        <v>107787.88</v>
      </c>
      <c r="N327" s="40">
        <v>2220089.24</v>
      </c>
      <c r="O327" s="33">
        <f t="shared" si="47"/>
        <v>4.94</v>
      </c>
      <c r="P327" s="34">
        <f t="shared" si="45"/>
        <v>94.8836971830986</v>
      </c>
      <c r="Q327" s="35">
        <f t="shared" si="46"/>
        <v>20.5968355625883</v>
      </c>
      <c r="R327" s="35">
        <f t="shared" si="40"/>
        <v>17.910913924892</v>
      </c>
      <c r="S327" s="33">
        <f t="shared" si="41"/>
        <v>885.27</v>
      </c>
      <c r="T327" s="36">
        <f t="shared" si="42"/>
        <v>1959.68</v>
      </c>
    </row>
    <row r="328" spans="1:20">
      <c r="A328" s="28">
        <v>45556</v>
      </c>
      <c r="B328" s="29" t="s">
        <v>516</v>
      </c>
      <c r="C328" s="29" t="s">
        <v>517</v>
      </c>
      <c r="D328" s="29" t="s">
        <v>518</v>
      </c>
      <c r="E328" s="29" t="s">
        <v>1573</v>
      </c>
      <c r="F328" s="29">
        <f t="shared" si="43"/>
        <v>2024</v>
      </c>
      <c r="G328" s="29" t="str">
        <f t="shared" si="44"/>
        <v>September</v>
      </c>
      <c r="H328" s="30">
        <v>114298</v>
      </c>
      <c r="I328" s="30">
        <v>4785</v>
      </c>
      <c r="J328" s="31">
        <v>1131</v>
      </c>
      <c r="K328" s="31">
        <v>713</v>
      </c>
      <c r="L328" s="31">
        <v>345</v>
      </c>
      <c r="M328" s="32">
        <v>80918.92</v>
      </c>
      <c r="N328" s="32">
        <v>2265577.65</v>
      </c>
      <c r="O328" s="33">
        <f t="shared" si="47"/>
        <v>4.19</v>
      </c>
      <c r="P328" s="34">
        <f t="shared" si="45"/>
        <v>71.5463483642794</v>
      </c>
      <c r="Q328" s="35">
        <f t="shared" si="46"/>
        <v>27.998120217126</v>
      </c>
      <c r="R328" s="35">
        <f t="shared" si="40"/>
        <v>16.9109550679206</v>
      </c>
      <c r="S328" s="33">
        <f t="shared" si="41"/>
        <v>707.96</v>
      </c>
      <c r="T328" s="36">
        <f t="shared" si="42"/>
        <v>2699.81</v>
      </c>
    </row>
    <row r="329" spans="1:20">
      <c r="A329" s="37">
        <v>45557</v>
      </c>
      <c r="B329" s="38" t="s">
        <v>516</v>
      </c>
      <c r="C329" s="38" t="s">
        <v>517</v>
      </c>
      <c r="D329" s="38" t="s">
        <v>518</v>
      </c>
      <c r="E329" s="38" t="s">
        <v>1571</v>
      </c>
      <c r="F329" s="38">
        <f t="shared" si="43"/>
        <v>2024</v>
      </c>
      <c r="G329" s="38" t="str">
        <f t="shared" si="44"/>
        <v>September</v>
      </c>
      <c r="H329" s="30">
        <v>105308</v>
      </c>
      <c r="I329" s="30">
        <v>7365</v>
      </c>
      <c r="J329" s="39">
        <v>1272</v>
      </c>
      <c r="K329" s="39">
        <v>726</v>
      </c>
      <c r="L329" s="39">
        <v>432</v>
      </c>
      <c r="M329" s="40">
        <v>43967.23</v>
      </c>
      <c r="N329" s="40">
        <v>2323390.45</v>
      </c>
      <c r="O329" s="33">
        <f t="shared" si="47"/>
        <v>6.99</v>
      </c>
      <c r="P329" s="34">
        <f t="shared" si="45"/>
        <v>34.5654323899371</v>
      </c>
      <c r="Q329" s="35">
        <f t="shared" si="46"/>
        <v>52.8436849444461</v>
      </c>
      <c r="R329" s="35">
        <f t="shared" si="40"/>
        <v>5.96975288526816</v>
      </c>
      <c r="S329" s="33">
        <f t="shared" si="41"/>
        <v>417.51</v>
      </c>
      <c r="T329" s="36">
        <f t="shared" si="42"/>
        <v>5184.37</v>
      </c>
    </row>
    <row r="330" spans="1:20">
      <c r="A330" s="28">
        <v>45558</v>
      </c>
      <c r="B330" s="29" t="s">
        <v>516</v>
      </c>
      <c r="C330" s="29" t="s">
        <v>517</v>
      </c>
      <c r="D330" s="29" t="s">
        <v>518</v>
      </c>
      <c r="E330" s="29" t="s">
        <v>1572</v>
      </c>
      <c r="F330" s="29">
        <f t="shared" si="43"/>
        <v>2024</v>
      </c>
      <c r="G330" s="29" t="str">
        <f t="shared" si="44"/>
        <v>September</v>
      </c>
      <c r="H330" s="30">
        <v>136857</v>
      </c>
      <c r="I330" s="30">
        <v>9505</v>
      </c>
      <c r="J330" s="31">
        <v>1522</v>
      </c>
      <c r="K330" s="31">
        <v>788</v>
      </c>
      <c r="L330" s="31">
        <v>362</v>
      </c>
      <c r="M330" s="32">
        <v>65108.72</v>
      </c>
      <c r="N330" s="32">
        <v>1489069.41</v>
      </c>
      <c r="O330" s="33">
        <f t="shared" si="47"/>
        <v>6.95</v>
      </c>
      <c r="P330" s="34">
        <f t="shared" si="45"/>
        <v>42.7783968462549</v>
      </c>
      <c r="Q330" s="35">
        <f t="shared" si="46"/>
        <v>22.8705065926653</v>
      </c>
      <c r="R330" s="35">
        <f t="shared" si="40"/>
        <v>6.84994423987375</v>
      </c>
      <c r="S330" s="33">
        <f t="shared" si="41"/>
        <v>475.74</v>
      </c>
      <c r="T330" s="36">
        <f t="shared" si="42"/>
        <v>2187.05</v>
      </c>
    </row>
    <row r="331" spans="1:20">
      <c r="A331" s="37">
        <v>45559</v>
      </c>
      <c r="B331" s="38" t="s">
        <v>516</v>
      </c>
      <c r="C331" s="38" t="s">
        <v>517</v>
      </c>
      <c r="D331" s="38" t="s">
        <v>518</v>
      </c>
      <c r="E331" s="38" t="s">
        <v>1571</v>
      </c>
      <c r="F331" s="38">
        <f t="shared" si="43"/>
        <v>2024</v>
      </c>
      <c r="G331" s="38" t="str">
        <f t="shared" si="44"/>
        <v>September</v>
      </c>
      <c r="H331" s="30">
        <v>134230</v>
      </c>
      <c r="I331" s="30">
        <v>8702</v>
      </c>
      <c r="J331" s="39">
        <v>1365</v>
      </c>
      <c r="K331" s="39">
        <v>650</v>
      </c>
      <c r="L331" s="39">
        <v>332</v>
      </c>
      <c r="M331" s="40">
        <v>124821.77</v>
      </c>
      <c r="N331" s="40">
        <v>1474440.35</v>
      </c>
      <c r="O331" s="33">
        <f t="shared" si="47"/>
        <v>6.48</v>
      </c>
      <c r="P331" s="34">
        <f t="shared" si="45"/>
        <v>91.4445201465201</v>
      </c>
      <c r="Q331" s="35">
        <f t="shared" si="46"/>
        <v>11.8123653430007</v>
      </c>
      <c r="R331" s="35">
        <f t="shared" si="40"/>
        <v>14.3440324063434</v>
      </c>
      <c r="S331" s="33">
        <f t="shared" si="41"/>
        <v>929.91</v>
      </c>
      <c r="T331" s="36">
        <f t="shared" si="42"/>
        <v>1081.24</v>
      </c>
    </row>
    <row r="332" spans="1:20">
      <c r="A332" s="28">
        <v>45560</v>
      </c>
      <c r="B332" s="29" t="s">
        <v>516</v>
      </c>
      <c r="C332" s="29" t="s">
        <v>517</v>
      </c>
      <c r="D332" s="29" t="s">
        <v>518</v>
      </c>
      <c r="E332" s="29" t="s">
        <v>1572</v>
      </c>
      <c r="F332" s="29">
        <f t="shared" si="43"/>
        <v>2024</v>
      </c>
      <c r="G332" s="29" t="str">
        <f t="shared" si="44"/>
        <v>September</v>
      </c>
      <c r="H332" s="30">
        <v>262940</v>
      </c>
      <c r="I332" s="30">
        <v>21020</v>
      </c>
      <c r="J332" s="31">
        <v>4963</v>
      </c>
      <c r="K332" s="31">
        <v>2852</v>
      </c>
      <c r="L332" s="31">
        <v>1664</v>
      </c>
      <c r="M332" s="32">
        <v>200318.65</v>
      </c>
      <c r="N332" s="32">
        <v>7439846.28</v>
      </c>
      <c r="O332" s="33">
        <f t="shared" si="47"/>
        <v>7.99</v>
      </c>
      <c r="P332" s="34">
        <f t="shared" si="45"/>
        <v>40.3624118476728</v>
      </c>
      <c r="Q332" s="35">
        <f t="shared" si="46"/>
        <v>37.1400580025874</v>
      </c>
      <c r="R332" s="35">
        <f t="shared" si="40"/>
        <v>9.52990723120837</v>
      </c>
      <c r="S332" s="33">
        <f t="shared" si="41"/>
        <v>761.84</v>
      </c>
      <c r="T332" s="36">
        <f t="shared" si="42"/>
        <v>3614.01</v>
      </c>
    </row>
    <row r="333" spans="1:20">
      <c r="A333" s="37">
        <v>45561</v>
      </c>
      <c r="B333" s="38" t="s">
        <v>516</v>
      </c>
      <c r="C333" s="38" t="s">
        <v>517</v>
      </c>
      <c r="D333" s="38" t="s">
        <v>518</v>
      </c>
      <c r="E333" s="38" t="s">
        <v>1573</v>
      </c>
      <c r="F333" s="38">
        <f t="shared" si="43"/>
        <v>2024</v>
      </c>
      <c r="G333" s="38" t="str">
        <f t="shared" si="44"/>
        <v>September</v>
      </c>
      <c r="H333" s="30">
        <v>273481</v>
      </c>
      <c r="I333" s="30">
        <v>17743</v>
      </c>
      <c r="J333" s="39">
        <v>3097</v>
      </c>
      <c r="K333" s="39">
        <v>1835</v>
      </c>
      <c r="L333" s="39">
        <v>1000</v>
      </c>
      <c r="M333" s="40">
        <v>262907.98</v>
      </c>
      <c r="N333" s="40">
        <v>7305475.89</v>
      </c>
      <c r="O333" s="33">
        <f t="shared" si="47"/>
        <v>6.49</v>
      </c>
      <c r="P333" s="34">
        <f t="shared" si="45"/>
        <v>84.8911785598967</v>
      </c>
      <c r="Q333" s="35">
        <f t="shared" si="46"/>
        <v>27.7871972163036</v>
      </c>
      <c r="R333" s="35">
        <f t="shared" si="40"/>
        <v>14.8175607281745</v>
      </c>
      <c r="S333" s="33">
        <f t="shared" si="41"/>
        <v>961.34</v>
      </c>
      <c r="T333" s="36">
        <f t="shared" si="42"/>
        <v>2678.72</v>
      </c>
    </row>
    <row r="334" spans="1:20">
      <c r="A334" s="28">
        <v>45562</v>
      </c>
      <c r="B334" s="29" t="s">
        <v>516</v>
      </c>
      <c r="C334" s="29" t="s">
        <v>517</v>
      </c>
      <c r="D334" s="29" t="s">
        <v>518</v>
      </c>
      <c r="E334" s="29" t="s">
        <v>1571</v>
      </c>
      <c r="F334" s="29">
        <f t="shared" si="43"/>
        <v>2024</v>
      </c>
      <c r="G334" s="29" t="str">
        <f t="shared" si="44"/>
        <v>September</v>
      </c>
      <c r="H334" s="30">
        <v>81135</v>
      </c>
      <c r="I334" s="30">
        <v>4547</v>
      </c>
      <c r="J334" s="31">
        <v>1123</v>
      </c>
      <c r="K334" s="31">
        <v>543</v>
      </c>
      <c r="L334" s="31">
        <v>325</v>
      </c>
      <c r="M334" s="32">
        <v>72931.67</v>
      </c>
      <c r="N334" s="32">
        <v>1570056.62</v>
      </c>
      <c r="O334" s="33">
        <f t="shared" si="47"/>
        <v>5.6</v>
      </c>
      <c r="P334" s="34">
        <f t="shared" si="45"/>
        <v>64.943606411398</v>
      </c>
      <c r="Q334" s="35">
        <f t="shared" si="46"/>
        <v>21.5277755191949</v>
      </c>
      <c r="R334" s="35">
        <f t="shared" si="40"/>
        <v>16.0395139652518</v>
      </c>
      <c r="S334" s="33">
        <f t="shared" si="41"/>
        <v>898.89</v>
      </c>
      <c r="T334" s="36">
        <f t="shared" si="42"/>
        <v>2052.78</v>
      </c>
    </row>
    <row r="335" spans="1:20">
      <c r="A335" s="37">
        <v>45563</v>
      </c>
      <c r="B335" s="38" t="s">
        <v>516</v>
      </c>
      <c r="C335" s="38" t="s">
        <v>517</v>
      </c>
      <c r="D335" s="38" t="s">
        <v>518</v>
      </c>
      <c r="E335" s="38" t="s">
        <v>1572</v>
      </c>
      <c r="F335" s="38">
        <f t="shared" si="43"/>
        <v>2024</v>
      </c>
      <c r="G335" s="38" t="str">
        <f t="shared" si="44"/>
        <v>September</v>
      </c>
      <c r="H335" s="30">
        <v>177065</v>
      </c>
      <c r="I335" s="30">
        <v>8511</v>
      </c>
      <c r="J335" s="39">
        <v>1962</v>
      </c>
      <c r="K335" s="39">
        <v>1141</v>
      </c>
      <c r="L335" s="39">
        <v>682</v>
      </c>
      <c r="M335" s="40">
        <v>126930.36</v>
      </c>
      <c r="N335" s="40">
        <v>4613730.38</v>
      </c>
      <c r="O335" s="33">
        <f t="shared" si="47"/>
        <v>4.81</v>
      </c>
      <c r="P335" s="34">
        <f t="shared" si="45"/>
        <v>64.694373088685</v>
      </c>
      <c r="Q335" s="35">
        <f t="shared" si="46"/>
        <v>36.3485172499314</v>
      </c>
      <c r="R335" s="35">
        <f t="shared" si="40"/>
        <v>14.9136834684526</v>
      </c>
      <c r="S335" s="33">
        <f t="shared" si="41"/>
        <v>716.86</v>
      </c>
      <c r="T335" s="36">
        <f t="shared" si="42"/>
        <v>3534.85</v>
      </c>
    </row>
    <row r="336" spans="1:20">
      <c r="A336" s="28">
        <v>45564</v>
      </c>
      <c r="B336" s="29" t="s">
        <v>516</v>
      </c>
      <c r="C336" s="29" t="s">
        <v>517</v>
      </c>
      <c r="D336" s="29" t="s">
        <v>518</v>
      </c>
      <c r="E336" s="29" t="s">
        <v>1571</v>
      </c>
      <c r="F336" s="29">
        <f t="shared" si="43"/>
        <v>2024</v>
      </c>
      <c r="G336" s="29" t="str">
        <f t="shared" si="44"/>
        <v>September</v>
      </c>
      <c r="H336" s="30">
        <v>120820</v>
      </c>
      <c r="I336" s="30">
        <v>8446</v>
      </c>
      <c r="J336" s="31">
        <v>1398</v>
      </c>
      <c r="K336" s="31">
        <v>808</v>
      </c>
      <c r="L336" s="31">
        <v>382</v>
      </c>
      <c r="M336" s="32">
        <v>96604.45</v>
      </c>
      <c r="N336" s="32">
        <v>1911053.53</v>
      </c>
      <c r="O336" s="33">
        <f t="shared" si="47"/>
        <v>6.99</v>
      </c>
      <c r="P336" s="34">
        <f t="shared" si="45"/>
        <v>69.101895565093</v>
      </c>
      <c r="Q336" s="35">
        <f t="shared" si="46"/>
        <v>19.7822515422426</v>
      </c>
      <c r="R336" s="35">
        <f t="shared" si="40"/>
        <v>11.4378936774805</v>
      </c>
      <c r="S336" s="33">
        <f t="shared" si="41"/>
        <v>799.57</v>
      </c>
      <c r="T336" s="36">
        <f t="shared" si="42"/>
        <v>1878.23</v>
      </c>
    </row>
    <row r="337" spans="1:20">
      <c r="A337" s="37">
        <v>45565</v>
      </c>
      <c r="B337" s="38" t="s">
        <v>516</v>
      </c>
      <c r="C337" s="38" t="s">
        <v>517</v>
      </c>
      <c r="D337" s="38" t="s">
        <v>518</v>
      </c>
      <c r="E337" s="38" t="s">
        <v>1571</v>
      </c>
      <c r="F337" s="38">
        <f t="shared" si="43"/>
        <v>2024</v>
      </c>
      <c r="G337" s="38" t="str">
        <f t="shared" si="44"/>
        <v>September</v>
      </c>
      <c r="H337" s="30">
        <v>108200</v>
      </c>
      <c r="I337" s="30">
        <v>3265</v>
      </c>
      <c r="J337" s="39">
        <v>588</v>
      </c>
      <c r="K337" s="39">
        <v>270</v>
      </c>
      <c r="L337" s="39">
        <v>146</v>
      </c>
      <c r="M337" s="40">
        <v>90135.86</v>
      </c>
      <c r="N337" s="40">
        <v>550296.55</v>
      </c>
      <c r="O337" s="33">
        <f t="shared" si="47"/>
        <v>3.02</v>
      </c>
      <c r="P337" s="34">
        <f t="shared" si="45"/>
        <v>153.292278911565</v>
      </c>
      <c r="Q337" s="35">
        <f t="shared" si="46"/>
        <v>6.10518998764754</v>
      </c>
      <c r="R337" s="35">
        <f t="shared" si="40"/>
        <v>27.6066952526799</v>
      </c>
      <c r="S337" s="33">
        <f t="shared" si="41"/>
        <v>833.05</v>
      </c>
      <c r="T337" s="36">
        <f t="shared" si="42"/>
        <v>510.52</v>
      </c>
    </row>
    <row r="338" spans="1:20">
      <c r="A338" s="28">
        <v>45301</v>
      </c>
      <c r="B338" s="29" t="s">
        <v>516</v>
      </c>
      <c r="C338" s="29" t="s">
        <v>517</v>
      </c>
      <c r="D338" s="29" t="s">
        <v>518</v>
      </c>
      <c r="E338" s="29" t="s">
        <v>1573</v>
      </c>
      <c r="F338" s="29">
        <f t="shared" si="43"/>
        <v>2024</v>
      </c>
      <c r="G338" s="29" t="str">
        <f t="shared" si="44"/>
        <v>January</v>
      </c>
      <c r="H338" s="30">
        <v>181393</v>
      </c>
      <c r="I338" s="30">
        <v>7776</v>
      </c>
      <c r="J338" s="31">
        <v>1216</v>
      </c>
      <c r="K338" s="31">
        <v>691</v>
      </c>
      <c r="L338" s="31">
        <v>308</v>
      </c>
      <c r="M338" s="32">
        <v>116710.52</v>
      </c>
      <c r="N338" s="32">
        <v>955852.67</v>
      </c>
      <c r="O338" s="33">
        <f t="shared" si="47"/>
        <v>4.29</v>
      </c>
      <c r="P338" s="34">
        <f t="shared" si="45"/>
        <v>95.9790460526316</v>
      </c>
      <c r="Q338" s="35">
        <f t="shared" si="46"/>
        <v>8.18994440261255</v>
      </c>
      <c r="R338" s="35">
        <f t="shared" si="40"/>
        <v>15.0090689300412</v>
      </c>
      <c r="S338" s="33">
        <f t="shared" si="41"/>
        <v>643.41</v>
      </c>
      <c r="T338" s="36">
        <f t="shared" si="42"/>
        <v>718.99</v>
      </c>
    </row>
    <row r="339" spans="1:20">
      <c r="A339" s="37">
        <v>45332</v>
      </c>
      <c r="B339" s="38" t="s">
        <v>516</v>
      </c>
      <c r="C339" s="38" t="s">
        <v>517</v>
      </c>
      <c r="D339" s="38" t="s">
        <v>518</v>
      </c>
      <c r="E339" s="38" t="s">
        <v>1573</v>
      </c>
      <c r="F339" s="38">
        <f t="shared" si="43"/>
        <v>2024</v>
      </c>
      <c r="G339" s="38" t="str">
        <f t="shared" si="44"/>
        <v>February</v>
      </c>
      <c r="H339" s="30">
        <v>188107</v>
      </c>
      <c r="I339" s="30">
        <v>11836</v>
      </c>
      <c r="J339" s="39">
        <v>2751</v>
      </c>
      <c r="K339" s="39">
        <v>1255</v>
      </c>
      <c r="L339" s="39">
        <v>668</v>
      </c>
      <c r="M339" s="40">
        <v>83985.35</v>
      </c>
      <c r="N339" s="40">
        <v>3644883.8</v>
      </c>
      <c r="O339" s="33">
        <f t="shared" si="47"/>
        <v>6.29</v>
      </c>
      <c r="P339" s="34">
        <f t="shared" si="45"/>
        <v>30.5290258087968</v>
      </c>
      <c r="Q339" s="35">
        <f t="shared" si="46"/>
        <v>43.3990428092518</v>
      </c>
      <c r="R339" s="35">
        <f t="shared" si="40"/>
        <v>7.09575447786414</v>
      </c>
      <c r="S339" s="33">
        <f t="shared" si="41"/>
        <v>446.48</v>
      </c>
      <c r="T339" s="36">
        <f t="shared" si="42"/>
        <v>4239.9</v>
      </c>
    </row>
    <row r="340" spans="1:20">
      <c r="A340" s="28">
        <v>45361</v>
      </c>
      <c r="B340" s="29" t="s">
        <v>516</v>
      </c>
      <c r="C340" s="29" t="s">
        <v>517</v>
      </c>
      <c r="D340" s="29" t="s">
        <v>518</v>
      </c>
      <c r="E340" s="29" t="s">
        <v>1571</v>
      </c>
      <c r="F340" s="29">
        <f t="shared" si="43"/>
        <v>2024</v>
      </c>
      <c r="G340" s="29" t="str">
        <f t="shared" si="44"/>
        <v>March</v>
      </c>
      <c r="H340" s="30">
        <v>136913</v>
      </c>
      <c r="I340" s="30">
        <v>4144</v>
      </c>
      <c r="J340" s="31">
        <v>997</v>
      </c>
      <c r="K340" s="31">
        <v>508</v>
      </c>
      <c r="L340" s="31">
        <v>257</v>
      </c>
      <c r="M340" s="32">
        <v>88554.32</v>
      </c>
      <c r="N340" s="32">
        <v>1706756.01</v>
      </c>
      <c r="O340" s="33">
        <f t="shared" si="47"/>
        <v>3.03</v>
      </c>
      <c r="P340" s="34">
        <f t="shared" si="45"/>
        <v>88.8207823470411</v>
      </c>
      <c r="Q340" s="35">
        <f t="shared" si="46"/>
        <v>19.2735488229146</v>
      </c>
      <c r="R340" s="35">
        <f t="shared" si="40"/>
        <v>21.3692857142857</v>
      </c>
      <c r="S340" s="33">
        <f t="shared" si="41"/>
        <v>646.79</v>
      </c>
      <c r="T340" s="36">
        <f t="shared" si="42"/>
        <v>1827.35</v>
      </c>
    </row>
    <row r="341" spans="1:20">
      <c r="A341" s="37">
        <v>45392</v>
      </c>
      <c r="B341" s="38" t="s">
        <v>516</v>
      </c>
      <c r="C341" s="38" t="s">
        <v>517</v>
      </c>
      <c r="D341" s="38" t="s">
        <v>518</v>
      </c>
      <c r="E341" s="38" t="s">
        <v>1573</v>
      </c>
      <c r="F341" s="38">
        <f t="shared" si="43"/>
        <v>2024</v>
      </c>
      <c r="G341" s="38" t="str">
        <f t="shared" si="44"/>
        <v>April</v>
      </c>
      <c r="H341" s="30">
        <v>275383</v>
      </c>
      <c r="I341" s="30">
        <v>21966</v>
      </c>
      <c r="J341" s="39">
        <v>4741</v>
      </c>
      <c r="K341" s="39">
        <v>2231</v>
      </c>
      <c r="L341" s="39">
        <v>912</v>
      </c>
      <c r="M341" s="40">
        <v>239728.52</v>
      </c>
      <c r="N341" s="40">
        <v>3926372.14</v>
      </c>
      <c r="O341" s="33">
        <f t="shared" si="47"/>
        <v>7.98</v>
      </c>
      <c r="P341" s="34">
        <f t="shared" si="45"/>
        <v>50.5649694157351</v>
      </c>
      <c r="Q341" s="35">
        <f t="shared" si="46"/>
        <v>16.378410628823</v>
      </c>
      <c r="R341" s="35">
        <f t="shared" si="40"/>
        <v>10.9136174087226</v>
      </c>
      <c r="S341" s="33">
        <f t="shared" si="41"/>
        <v>870.53</v>
      </c>
      <c r="T341" s="36">
        <f t="shared" si="42"/>
        <v>1537.84</v>
      </c>
    </row>
    <row r="342" spans="1:20">
      <c r="A342" s="28">
        <v>45422</v>
      </c>
      <c r="B342" s="29" t="s">
        <v>516</v>
      </c>
      <c r="C342" s="29" t="s">
        <v>517</v>
      </c>
      <c r="D342" s="29" t="s">
        <v>518</v>
      </c>
      <c r="E342" s="29" t="s">
        <v>1573</v>
      </c>
      <c r="F342" s="29">
        <f t="shared" si="43"/>
        <v>2024</v>
      </c>
      <c r="G342" s="29" t="str">
        <f t="shared" si="44"/>
        <v>May</v>
      </c>
      <c r="H342" s="30">
        <v>287478</v>
      </c>
      <c r="I342" s="30">
        <v>15296</v>
      </c>
      <c r="J342" s="31">
        <v>2824</v>
      </c>
      <c r="K342" s="31">
        <v>1485</v>
      </c>
      <c r="L342" s="31">
        <v>658</v>
      </c>
      <c r="M342" s="32">
        <v>273924.01</v>
      </c>
      <c r="N342" s="32">
        <v>2298553.78</v>
      </c>
      <c r="O342" s="33">
        <f t="shared" si="47"/>
        <v>5.32</v>
      </c>
      <c r="P342" s="34">
        <f t="shared" si="45"/>
        <v>96.9985871104816</v>
      </c>
      <c r="Q342" s="35">
        <f t="shared" si="46"/>
        <v>8.39120959130235</v>
      </c>
      <c r="R342" s="35">
        <f t="shared" si="40"/>
        <v>17.9082119508368</v>
      </c>
      <c r="S342" s="33">
        <f t="shared" si="41"/>
        <v>952.85</v>
      </c>
      <c r="T342" s="36">
        <f t="shared" si="42"/>
        <v>739.12</v>
      </c>
    </row>
    <row r="343" spans="1:20">
      <c r="A343" s="37">
        <v>45453</v>
      </c>
      <c r="B343" s="38" t="s">
        <v>516</v>
      </c>
      <c r="C343" s="38" t="s">
        <v>517</v>
      </c>
      <c r="D343" s="38" t="s">
        <v>518</v>
      </c>
      <c r="E343" s="38" t="s">
        <v>1573</v>
      </c>
      <c r="F343" s="38">
        <f t="shared" si="43"/>
        <v>2024</v>
      </c>
      <c r="G343" s="38" t="str">
        <f t="shared" si="44"/>
        <v>June</v>
      </c>
      <c r="H343" s="30">
        <v>177706</v>
      </c>
      <c r="I343" s="30">
        <v>6076</v>
      </c>
      <c r="J343" s="39">
        <v>1461</v>
      </c>
      <c r="K343" s="39">
        <v>913</v>
      </c>
      <c r="L343" s="39">
        <v>494</v>
      </c>
      <c r="M343" s="40">
        <v>142058.98</v>
      </c>
      <c r="N343" s="40">
        <v>1710667.68</v>
      </c>
      <c r="O343" s="33">
        <f t="shared" si="47"/>
        <v>3.42</v>
      </c>
      <c r="P343" s="34">
        <f t="shared" si="45"/>
        <v>97.2340725530459</v>
      </c>
      <c r="Q343" s="35">
        <f t="shared" si="46"/>
        <v>12.0419538419887</v>
      </c>
      <c r="R343" s="35">
        <f t="shared" si="40"/>
        <v>23.3803456221198</v>
      </c>
      <c r="S343" s="33">
        <f t="shared" si="41"/>
        <v>799.4</v>
      </c>
      <c r="T343" s="36">
        <f t="shared" si="42"/>
        <v>1104.2</v>
      </c>
    </row>
    <row r="344" spans="1:20">
      <c r="A344" s="28">
        <v>45483</v>
      </c>
      <c r="B344" s="29" t="s">
        <v>516</v>
      </c>
      <c r="C344" s="29" t="s">
        <v>517</v>
      </c>
      <c r="D344" s="29" t="s">
        <v>518</v>
      </c>
      <c r="E344" s="29" t="s">
        <v>1573</v>
      </c>
      <c r="F344" s="29">
        <f t="shared" si="43"/>
        <v>2024</v>
      </c>
      <c r="G344" s="29" t="str">
        <f t="shared" si="44"/>
        <v>July</v>
      </c>
      <c r="H344" s="30">
        <v>295188</v>
      </c>
      <c r="I344" s="30">
        <v>8972</v>
      </c>
      <c r="J344" s="31">
        <v>1635</v>
      </c>
      <c r="K344" s="31">
        <v>877</v>
      </c>
      <c r="L344" s="31">
        <v>449</v>
      </c>
      <c r="M344" s="32">
        <v>209783.61</v>
      </c>
      <c r="N344" s="32">
        <v>3330514.34</v>
      </c>
      <c r="O344" s="33">
        <f t="shared" si="47"/>
        <v>3.04</v>
      </c>
      <c r="P344" s="34">
        <f t="shared" si="45"/>
        <v>128.308018348624</v>
      </c>
      <c r="Q344" s="35">
        <f t="shared" si="46"/>
        <v>15.8759511288799</v>
      </c>
      <c r="R344" s="35">
        <f t="shared" si="40"/>
        <v>23.3820341061079</v>
      </c>
      <c r="S344" s="33">
        <f t="shared" si="41"/>
        <v>710.68</v>
      </c>
      <c r="T344" s="36">
        <f t="shared" si="42"/>
        <v>1487.6</v>
      </c>
    </row>
    <row r="345" spans="1:20">
      <c r="A345" s="37">
        <v>45514</v>
      </c>
      <c r="B345" s="38" t="s">
        <v>516</v>
      </c>
      <c r="C345" s="38" t="s">
        <v>517</v>
      </c>
      <c r="D345" s="38" t="s">
        <v>518</v>
      </c>
      <c r="E345" s="38" t="s">
        <v>1573</v>
      </c>
      <c r="F345" s="38">
        <f t="shared" si="43"/>
        <v>2024</v>
      </c>
      <c r="G345" s="38" t="str">
        <f t="shared" si="44"/>
        <v>August</v>
      </c>
      <c r="H345" s="30">
        <v>142451</v>
      </c>
      <c r="I345" s="30">
        <v>6326</v>
      </c>
      <c r="J345" s="39">
        <v>1430</v>
      </c>
      <c r="K345" s="39">
        <v>782</v>
      </c>
      <c r="L345" s="39">
        <v>396</v>
      </c>
      <c r="M345" s="40">
        <v>65523.4</v>
      </c>
      <c r="N345" s="40">
        <v>2443483.47</v>
      </c>
      <c r="O345" s="33">
        <f t="shared" si="47"/>
        <v>4.44</v>
      </c>
      <c r="P345" s="34">
        <f t="shared" si="45"/>
        <v>45.8205594405594</v>
      </c>
      <c r="Q345" s="35">
        <f t="shared" si="46"/>
        <v>37.2917685895421</v>
      </c>
      <c r="R345" s="35">
        <f t="shared" si="40"/>
        <v>10.3577932342713</v>
      </c>
      <c r="S345" s="33">
        <f t="shared" si="41"/>
        <v>459.97</v>
      </c>
      <c r="T345" s="36">
        <f t="shared" si="42"/>
        <v>3629.18</v>
      </c>
    </row>
    <row r="346" spans="1:20">
      <c r="A346" s="28">
        <v>45545</v>
      </c>
      <c r="B346" s="29" t="s">
        <v>516</v>
      </c>
      <c r="C346" s="29" t="s">
        <v>517</v>
      </c>
      <c r="D346" s="29" t="s">
        <v>518</v>
      </c>
      <c r="E346" s="29" t="s">
        <v>1572</v>
      </c>
      <c r="F346" s="29">
        <f t="shared" si="43"/>
        <v>2024</v>
      </c>
      <c r="G346" s="29" t="str">
        <f t="shared" si="44"/>
        <v>September</v>
      </c>
      <c r="H346" s="30">
        <v>54463</v>
      </c>
      <c r="I346" s="30">
        <v>3186</v>
      </c>
      <c r="J346" s="31">
        <v>540</v>
      </c>
      <c r="K346" s="31">
        <v>317</v>
      </c>
      <c r="L346" s="31">
        <v>161</v>
      </c>
      <c r="M346" s="32">
        <v>38378.96</v>
      </c>
      <c r="N346" s="32">
        <v>865326.9</v>
      </c>
      <c r="O346" s="33">
        <f t="shared" si="47"/>
        <v>5.85</v>
      </c>
      <c r="P346" s="34">
        <f t="shared" si="45"/>
        <v>71.0721481481481</v>
      </c>
      <c r="Q346" s="35">
        <f t="shared" si="46"/>
        <v>22.5469085144569</v>
      </c>
      <c r="R346" s="35">
        <f t="shared" si="40"/>
        <v>12.0461268047709</v>
      </c>
      <c r="S346" s="33">
        <f t="shared" si="41"/>
        <v>704.68</v>
      </c>
      <c r="T346" s="36">
        <f t="shared" si="42"/>
        <v>2154.69</v>
      </c>
    </row>
    <row r="347" spans="1:20">
      <c r="A347" s="37">
        <v>45575</v>
      </c>
      <c r="B347" s="38" t="s">
        <v>516</v>
      </c>
      <c r="C347" s="38" t="s">
        <v>517</v>
      </c>
      <c r="D347" s="38" t="s">
        <v>518</v>
      </c>
      <c r="E347" s="38" t="s">
        <v>1573</v>
      </c>
      <c r="F347" s="38">
        <f t="shared" si="43"/>
        <v>2024</v>
      </c>
      <c r="G347" s="38" t="str">
        <f t="shared" si="44"/>
        <v>October</v>
      </c>
      <c r="H347" s="30">
        <v>139686</v>
      </c>
      <c r="I347" s="30">
        <v>5412</v>
      </c>
      <c r="J347" s="39">
        <v>1042</v>
      </c>
      <c r="K347" s="39">
        <v>509</v>
      </c>
      <c r="L347" s="39">
        <v>290</v>
      </c>
      <c r="M347" s="40">
        <v>75836.12</v>
      </c>
      <c r="N347" s="40">
        <v>1654751.42</v>
      </c>
      <c r="O347" s="33">
        <f t="shared" si="47"/>
        <v>3.87</v>
      </c>
      <c r="P347" s="34">
        <f t="shared" si="45"/>
        <v>72.7793857965451</v>
      </c>
      <c r="Q347" s="35">
        <f t="shared" si="46"/>
        <v>21.8200960175705</v>
      </c>
      <c r="R347" s="35">
        <f t="shared" si="40"/>
        <v>14.0125868440503</v>
      </c>
      <c r="S347" s="33">
        <f t="shared" si="41"/>
        <v>542.9</v>
      </c>
      <c r="T347" s="36">
        <f t="shared" si="42"/>
        <v>2082.01</v>
      </c>
    </row>
    <row r="348" spans="1:20">
      <c r="A348" s="28">
        <v>45606</v>
      </c>
      <c r="B348" s="29" t="s">
        <v>516</v>
      </c>
      <c r="C348" s="29" t="s">
        <v>517</v>
      </c>
      <c r="D348" s="29" t="s">
        <v>518</v>
      </c>
      <c r="E348" s="29" t="s">
        <v>1573</v>
      </c>
      <c r="F348" s="29">
        <f t="shared" si="43"/>
        <v>2024</v>
      </c>
      <c r="G348" s="29" t="str">
        <f t="shared" si="44"/>
        <v>November</v>
      </c>
      <c r="H348" s="30">
        <v>120409</v>
      </c>
      <c r="I348" s="30">
        <v>4489</v>
      </c>
      <c r="J348" s="31">
        <v>780</v>
      </c>
      <c r="K348" s="31">
        <v>484</v>
      </c>
      <c r="L348" s="31">
        <v>246</v>
      </c>
      <c r="M348" s="32">
        <v>110563.17</v>
      </c>
      <c r="N348" s="32">
        <v>1888857.04</v>
      </c>
      <c r="O348" s="33">
        <f t="shared" si="47"/>
        <v>3.73</v>
      </c>
      <c r="P348" s="34">
        <f t="shared" si="45"/>
        <v>141.747653846154</v>
      </c>
      <c r="Q348" s="35">
        <f t="shared" si="46"/>
        <v>17.0839624080967</v>
      </c>
      <c r="R348" s="35">
        <f t="shared" si="40"/>
        <v>24.6297995099131</v>
      </c>
      <c r="S348" s="33">
        <f t="shared" si="41"/>
        <v>918.23</v>
      </c>
      <c r="T348" s="36">
        <f t="shared" si="42"/>
        <v>1608.4</v>
      </c>
    </row>
    <row r="349" spans="1:20">
      <c r="A349" s="37">
        <v>45636</v>
      </c>
      <c r="B349" s="38" t="s">
        <v>516</v>
      </c>
      <c r="C349" s="38" t="s">
        <v>517</v>
      </c>
      <c r="D349" s="38" t="s">
        <v>518</v>
      </c>
      <c r="E349" s="38" t="s">
        <v>1571</v>
      </c>
      <c r="F349" s="38">
        <f t="shared" si="43"/>
        <v>2024</v>
      </c>
      <c r="G349" s="38" t="str">
        <f t="shared" si="44"/>
        <v>December</v>
      </c>
      <c r="H349" s="30">
        <v>216016</v>
      </c>
      <c r="I349" s="30">
        <v>10639</v>
      </c>
      <c r="J349" s="39">
        <v>1987</v>
      </c>
      <c r="K349" s="39">
        <v>1050</v>
      </c>
      <c r="L349" s="39">
        <v>475</v>
      </c>
      <c r="M349" s="40">
        <v>139364</v>
      </c>
      <c r="N349" s="40">
        <v>1826451.72</v>
      </c>
      <c r="O349" s="33">
        <f t="shared" si="47"/>
        <v>4.93</v>
      </c>
      <c r="P349" s="34">
        <f t="shared" si="45"/>
        <v>70.1378963261198</v>
      </c>
      <c r="Q349" s="35">
        <f t="shared" si="46"/>
        <v>13.1056206767888</v>
      </c>
      <c r="R349" s="35">
        <f t="shared" si="40"/>
        <v>13.0993514428048</v>
      </c>
      <c r="S349" s="33">
        <f t="shared" si="41"/>
        <v>645.16</v>
      </c>
      <c r="T349" s="36">
        <f t="shared" si="42"/>
        <v>1210.56</v>
      </c>
    </row>
    <row r="350" spans="1:20">
      <c r="A350" s="28">
        <v>45578</v>
      </c>
      <c r="B350" s="29" t="s">
        <v>516</v>
      </c>
      <c r="C350" s="29" t="s">
        <v>517</v>
      </c>
      <c r="D350" s="29" t="s">
        <v>518</v>
      </c>
      <c r="E350" s="29" t="s">
        <v>1571</v>
      </c>
      <c r="F350" s="29">
        <f t="shared" si="43"/>
        <v>2024</v>
      </c>
      <c r="G350" s="29" t="str">
        <f t="shared" si="44"/>
        <v>October</v>
      </c>
      <c r="H350" s="30">
        <v>58912</v>
      </c>
      <c r="I350" s="30">
        <v>4326</v>
      </c>
      <c r="J350" s="31">
        <v>782</v>
      </c>
      <c r="K350" s="31">
        <v>498</v>
      </c>
      <c r="L350" s="31">
        <v>295</v>
      </c>
      <c r="M350" s="32">
        <v>48216.62</v>
      </c>
      <c r="N350" s="32">
        <v>1214180.74</v>
      </c>
      <c r="O350" s="33">
        <f t="shared" si="47"/>
        <v>7.34</v>
      </c>
      <c r="P350" s="34">
        <f t="shared" si="45"/>
        <v>61.6580818414322</v>
      </c>
      <c r="Q350" s="35">
        <f t="shared" si="46"/>
        <v>25.1817887691008</v>
      </c>
      <c r="R350" s="35">
        <f t="shared" si="40"/>
        <v>11.1457743874249</v>
      </c>
      <c r="S350" s="33">
        <f t="shared" si="41"/>
        <v>818.45</v>
      </c>
      <c r="T350" s="36">
        <f t="shared" si="42"/>
        <v>2418.18</v>
      </c>
    </row>
    <row r="351" spans="1:20">
      <c r="A351" s="37">
        <v>45579</v>
      </c>
      <c r="B351" s="38" t="s">
        <v>516</v>
      </c>
      <c r="C351" s="38" t="s">
        <v>517</v>
      </c>
      <c r="D351" s="38" t="s">
        <v>518</v>
      </c>
      <c r="E351" s="38" t="s">
        <v>1572</v>
      </c>
      <c r="F351" s="38">
        <f t="shared" si="43"/>
        <v>2024</v>
      </c>
      <c r="G351" s="38" t="str">
        <f t="shared" si="44"/>
        <v>October</v>
      </c>
      <c r="H351" s="30">
        <v>202717</v>
      </c>
      <c r="I351" s="30">
        <v>6817</v>
      </c>
      <c r="J351" s="39">
        <v>1069</v>
      </c>
      <c r="K351" s="39">
        <v>693</v>
      </c>
      <c r="L351" s="39">
        <v>358</v>
      </c>
      <c r="M351" s="40">
        <v>116988.99</v>
      </c>
      <c r="N351" s="40">
        <v>1522257.6</v>
      </c>
      <c r="O351" s="33">
        <f t="shared" si="47"/>
        <v>3.36</v>
      </c>
      <c r="P351" s="34">
        <f t="shared" si="45"/>
        <v>109.437782974743</v>
      </c>
      <c r="Q351" s="35">
        <f t="shared" si="46"/>
        <v>13.0119731779888</v>
      </c>
      <c r="R351" s="35">
        <f t="shared" si="40"/>
        <v>17.1613598357049</v>
      </c>
      <c r="S351" s="33">
        <f t="shared" si="41"/>
        <v>577.1</v>
      </c>
      <c r="T351" s="36">
        <f t="shared" si="42"/>
        <v>1201.2</v>
      </c>
    </row>
    <row r="352" spans="1:20">
      <c r="A352" s="28">
        <v>45580</v>
      </c>
      <c r="B352" s="29" t="s">
        <v>516</v>
      </c>
      <c r="C352" s="29" t="s">
        <v>517</v>
      </c>
      <c r="D352" s="29" t="s">
        <v>518</v>
      </c>
      <c r="E352" s="29" t="s">
        <v>1572</v>
      </c>
      <c r="F352" s="29">
        <f t="shared" si="43"/>
        <v>2024</v>
      </c>
      <c r="G352" s="29" t="str">
        <f t="shared" si="44"/>
        <v>October</v>
      </c>
      <c r="H352" s="30">
        <v>251656</v>
      </c>
      <c r="I352" s="30">
        <v>18834</v>
      </c>
      <c r="J352" s="31">
        <v>3343</v>
      </c>
      <c r="K352" s="31">
        <v>1918</v>
      </c>
      <c r="L352" s="31">
        <v>1080</v>
      </c>
      <c r="M352" s="32">
        <v>241798.27</v>
      </c>
      <c r="N352" s="32">
        <v>7037867.27</v>
      </c>
      <c r="O352" s="33">
        <f t="shared" si="47"/>
        <v>7.48</v>
      </c>
      <c r="P352" s="34">
        <f t="shared" si="45"/>
        <v>72.3297247980856</v>
      </c>
      <c r="Q352" s="35">
        <f t="shared" si="46"/>
        <v>29.1063590736195</v>
      </c>
      <c r="R352" s="35">
        <f t="shared" si="40"/>
        <v>12.8383917383455</v>
      </c>
      <c r="S352" s="33">
        <f t="shared" si="41"/>
        <v>960.83</v>
      </c>
      <c r="T352" s="36">
        <f t="shared" si="42"/>
        <v>2810.64</v>
      </c>
    </row>
    <row r="353" spans="1:20">
      <c r="A353" s="37">
        <v>45581</v>
      </c>
      <c r="B353" s="38" t="s">
        <v>516</v>
      </c>
      <c r="C353" s="38" t="s">
        <v>517</v>
      </c>
      <c r="D353" s="38" t="s">
        <v>518</v>
      </c>
      <c r="E353" s="38" t="s">
        <v>1571</v>
      </c>
      <c r="F353" s="38">
        <f t="shared" si="43"/>
        <v>2024</v>
      </c>
      <c r="G353" s="38" t="str">
        <f t="shared" si="44"/>
        <v>October</v>
      </c>
      <c r="H353" s="30">
        <v>199622</v>
      </c>
      <c r="I353" s="30">
        <v>6041</v>
      </c>
      <c r="J353" s="39">
        <v>993</v>
      </c>
      <c r="K353" s="39">
        <v>525</v>
      </c>
      <c r="L353" s="39">
        <v>228</v>
      </c>
      <c r="M353" s="40">
        <v>176721.83</v>
      </c>
      <c r="N353" s="40">
        <v>988512.45</v>
      </c>
      <c r="O353" s="33">
        <f t="shared" si="47"/>
        <v>3.03</v>
      </c>
      <c r="P353" s="34">
        <f t="shared" si="45"/>
        <v>177.967603222558</v>
      </c>
      <c r="Q353" s="35">
        <f t="shared" si="46"/>
        <v>5.59360691319233</v>
      </c>
      <c r="R353" s="35">
        <f t="shared" si="40"/>
        <v>29.2537377917563</v>
      </c>
      <c r="S353" s="33">
        <f t="shared" si="41"/>
        <v>885.28</v>
      </c>
      <c r="T353" s="36">
        <f t="shared" si="42"/>
        <v>459.36</v>
      </c>
    </row>
    <row r="354" spans="1:20">
      <c r="A354" s="28">
        <v>45582</v>
      </c>
      <c r="B354" s="29" t="s">
        <v>516</v>
      </c>
      <c r="C354" s="29" t="s">
        <v>517</v>
      </c>
      <c r="D354" s="29" t="s">
        <v>518</v>
      </c>
      <c r="E354" s="29" t="s">
        <v>1573</v>
      </c>
      <c r="F354" s="29">
        <f t="shared" si="43"/>
        <v>2024</v>
      </c>
      <c r="G354" s="29" t="str">
        <f t="shared" si="44"/>
        <v>October</v>
      </c>
      <c r="H354" s="30">
        <v>69381</v>
      </c>
      <c r="I354" s="30">
        <v>3391</v>
      </c>
      <c r="J354" s="31">
        <v>607</v>
      </c>
      <c r="K354" s="31">
        <v>363</v>
      </c>
      <c r="L354" s="31">
        <v>166</v>
      </c>
      <c r="M354" s="32">
        <v>49757.02</v>
      </c>
      <c r="N354" s="32">
        <v>578094.77</v>
      </c>
      <c r="O354" s="33">
        <f t="shared" si="47"/>
        <v>4.89</v>
      </c>
      <c r="P354" s="34">
        <f t="shared" si="45"/>
        <v>81.9720263591433</v>
      </c>
      <c r="Q354" s="35">
        <f t="shared" si="46"/>
        <v>11.618355962636</v>
      </c>
      <c r="R354" s="35">
        <f t="shared" si="40"/>
        <v>14.6732586257741</v>
      </c>
      <c r="S354" s="33">
        <f t="shared" si="41"/>
        <v>717.16</v>
      </c>
      <c r="T354" s="36">
        <f t="shared" si="42"/>
        <v>1061.84</v>
      </c>
    </row>
    <row r="355" spans="1:20">
      <c r="A355" s="37">
        <v>45583</v>
      </c>
      <c r="B355" s="38" t="s">
        <v>516</v>
      </c>
      <c r="C355" s="38" t="s">
        <v>517</v>
      </c>
      <c r="D355" s="38" t="s">
        <v>518</v>
      </c>
      <c r="E355" s="38" t="s">
        <v>1571</v>
      </c>
      <c r="F355" s="38">
        <f t="shared" si="43"/>
        <v>2024</v>
      </c>
      <c r="G355" s="38" t="str">
        <f t="shared" si="44"/>
        <v>October</v>
      </c>
      <c r="H355" s="30">
        <v>287101</v>
      </c>
      <c r="I355" s="30">
        <v>12759</v>
      </c>
      <c r="J355" s="39">
        <v>2552</v>
      </c>
      <c r="K355" s="39">
        <v>1493</v>
      </c>
      <c r="L355" s="39">
        <v>878</v>
      </c>
      <c r="M355" s="40">
        <v>208157.08</v>
      </c>
      <c r="N355" s="40">
        <v>4202662.82</v>
      </c>
      <c r="O355" s="33">
        <f t="shared" si="47"/>
        <v>4.44</v>
      </c>
      <c r="P355" s="34">
        <f t="shared" si="45"/>
        <v>81.5662539184953</v>
      </c>
      <c r="Q355" s="35">
        <f t="shared" si="46"/>
        <v>20.1898624826982</v>
      </c>
      <c r="R355" s="35">
        <f t="shared" si="40"/>
        <v>16.3145293518301</v>
      </c>
      <c r="S355" s="33">
        <f t="shared" si="41"/>
        <v>725.03</v>
      </c>
      <c r="T355" s="36">
        <f t="shared" si="42"/>
        <v>1918.99</v>
      </c>
    </row>
    <row r="356" spans="1:20">
      <c r="A356" s="28">
        <v>45584</v>
      </c>
      <c r="B356" s="29" t="s">
        <v>516</v>
      </c>
      <c r="C356" s="29" t="s">
        <v>517</v>
      </c>
      <c r="D356" s="29" t="s">
        <v>518</v>
      </c>
      <c r="E356" s="29" t="s">
        <v>1571</v>
      </c>
      <c r="F356" s="29">
        <f t="shared" si="43"/>
        <v>2024</v>
      </c>
      <c r="G356" s="29" t="str">
        <f t="shared" si="44"/>
        <v>October</v>
      </c>
      <c r="H356" s="30">
        <v>184878</v>
      </c>
      <c r="I356" s="30">
        <v>12850</v>
      </c>
      <c r="J356" s="31">
        <v>2357</v>
      </c>
      <c r="K356" s="31">
        <v>1514</v>
      </c>
      <c r="L356" s="31">
        <v>788</v>
      </c>
      <c r="M356" s="32">
        <v>119293.73</v>
      </c>
      <c r="N356" s="32">
        <v>4620820.81</v>
      </c>
      <c r="O356" s="33">
        <f t="shared" si="47"/>
        <v>6.95</v>
      </c>
      <c r="P356" s="34">
        <f t="shared" si="45"/>
        <v>50.6125286380993</v>
      </c>
      <c r="Q356" s="35">
        <f t="shared" si="46"/>
        <v>38.7348170771423</v>
      </c>
      <c r="R356" s="35">
        <f t="shared" si="40"/>
        <v>9.28355875486381</v>
      </c>
      <c r="S356" s="33">
        <f t="shared" si="41"/>
        <v>645.26</v>
      </c>
      <c r="T356" s="36">
        <f t="shared" si="42"/>
        <v>3773.48</v>
      </c>
    </row>
    <row r="357" spans="1:20">
      <c r="A357" s="37">
        <v>45585</v>
      </c>
      <c r="B357" s="38" t="s">
        <v>516</v>
      </c>
      <c r="C357" s="38" t="s">
        <v>517</v>
      </c>
      <c r="D357" s="38" t="s">
        <v>518</v>
      </c>
      <c r="E357" s="38" t="s">
        <v>1572</v>
      </c>
      <c r="F357" s="38">
        <f t="shared" si="43"/>
        <v>2024</v>
      </c>
      <c r="G357" s="38" t="str">
        <f t="shared" si="44"/>
        <v>October</v>
      </c>
      <c r="H357" s="30">
        <v>92994</v>
      </c>
      <c r="I357" s="30">
        <v>4254</v>
      </c>
      <c r="J357" s="39">
        <v>1025</v>
      </c>
      <c r="K357" s="39">
        <v>663</v>
      </c>
      <c r="L357" s="39">
        <v>325</v>
      </c>
      <c r="M357" s="40">
        <v>63509.98</v>
      </c>
      <c r="N357" s="40">
        <v>1979290.65</v>
      </c>
      <c r="O357" s="33">
        <f t="shared" si="47"/>
        <v>4.57</v>
      </c>
      <c r="P357" s="34">
        <f t="shared" si="45"/>
        <v>61.960956097561</v>
      </c>
      <c r="Q357" s="35">
        <f t="shared" si="46"/>
        <v>31.1650334325408</v>
      </c>
      <c r="R357" s="35">
        <f t="shared" ref="R357:R420" si="48">(M357/I357)</f>
        <v>14.9294734367654</v>
      </c>
      <c r="S357" s="33">
        <f t="shared" si="41"/>
        <v>682.95</v>
      </c>
      <c r="T357" s="36">
        <f t="shared" si="42"/>
        <v>3016.5</v>
      </c>
    </row>
    <row r="358" spans="1:20">
      <c r="A358" s="28">
        <v>45586</v>
      </c>
      <c r="B358" s="29" t="s">
        <v>516</v>
      </c>
      <c r="C358" s="29" t="s">
        <v>517</v>
      </c>
      <c r="D358" s="29" t="s">
        <v>518</v>
      </c>
      <c r="E358" s="29" t="s">
        <v>1573</v>
      </c>
      <c r="F358" s="29">
        <f t="shared" si="43"/>
        <v>2024</v>
      </c>
      <c r="G358" s="29" t="str">
        <f t="shared" si="44"/>
        <v>October</v>
      </c>
      <c r="H358" s="30">
        <v>122794</v>
      </c>
      <c r="I358" s="30">
        <v>7849</v>
      </c>
      <c r="J358" s="31">
        <v>1907</v>
      </c>
      <c r="K358" s="31">
        <v>1022</v>
      </c>
      <c r="L358" s="31">
        <v>609</v>
      </c>
      <c r="M358" s="32">
        <v>115044.95</v>
      </c>
      <c r="N358" s="32">
        <v>2146534.46</v>
      </c>
      <c r="O358" s="33">
        <f t="shared" si="47"/>
        <v>6.39</v>
      </c>
      <c r="P358" s="34">
        <f t="shared" si="45"/>
        <v>60.3277136864185</v>
      </c>
      <c r="Q358" s="35">
        <f t="shared" si="46"/>
        <v>18.6582241115321</v>
      </c>
      <c r="R358" s="35">
        <f t="shared" si="48"/>
        <v>14.657274812078</v>
      </c>
      <c r="S358" s="33">
        <f t="shared" si="41"/>
        <v>936.89</v>
      </c>
      <c r="T358" s="36">
        <f t="shared" si="42"/>
        <v>1765.82</v>
      </c>
    </row>
    <row r="359" spans="1:20">
      <c r="A359" s="37">
        <v>45587</v>
      </c>
      <c r="B359" s="38" t="s">
        <v>516</v>
      </c>
      <c r="C359" s="38" t="s">
        <v>517</v>
      </c>
      <c r="D359" s="38" t="s">
        <v>518</v>
      </c>
      <c r="E359" s="38" t="s">
        <v>1571</v>
      </c>
      <c r="F359" s="38">
        <f t="shared" si="43"/>
        <v>2024</v>
      </c>
      <c r="G359" s="38" t="str">
        <f t="shared" si="44"/>
        <v>October</v>
      </c>
      <c r="H359" s="30">
        <v>91570</v>
      </c>
      <c r="I359" s="30">
        <v>6739</v>
      </c>
      <c r="J359" s="39">
        <v>1285</v>
      </c>
      <c r="K359" s="39">
        <v>721</v>
      </c>
      <c r="L359" s="39">
        <v>353</v>
      </c>
      <c r="M359" s="40">
        <v>79415.47</v>
      </c>
      <c r="N359" s="40">
        <v>2003387.48</v>
      </c>
      <c r="O359" s="33">
        <f t="shared" si="47"/>
        <v>7.36</v>
      </c>
      <c r="P359" s="34">
        <f t="shared" si="45"/>
        <v>61.8019221789883</v>
      </c>
      <c r="Q359" s="35">
        <f t="shared" si="46"/>
        <v>25.226665283225</v>
      </c>
      <c r="R359" s="35">
        <f t="shared" si="48"/>
        <v>11.7844591185636</v>
      </c>
      <c r="S359" s="33">
        <f t="shared" si="41"/>
        <v>867.27</v>
      </c>
      <c r="T359" s="36">
        <f t="shared" si="42"/>
        <v>2422.67</v>
      </c>
    </row>
    <row r="360" spans="1:20">
      <c r="A360" s="28">
        <v>45588</v>
      </c>
      <c r="B360" s="29" t="s">
        <v>516</v>
      </c>
      <c r="C360" s="29" t="s">
        <v>517</v>
      </c>
      <c r="D360" s="29" t="s">
        <v>518</v>
      </c>
      <c r="E360" s="29" t="s">
        <v>1573</v>
      </c>
      <c r="F360" s="29">
        <f t="shared" si="43"/>
        <v>2024</v>
      </c>
      <c r="G360" s="29" t="str">
        <f t="shared" si="44"/>
        <v>October</v>
      </c>
      <c r="H360" s="30">
        <v>136044</v>
      </c>
      <c r="I360" s="30">
        <v>5700</v>
      </c>
      <c r="J360" s="31">
        <v>1277</v>
      </c>
      <c r="K360" s="31">
        <v>576</v>
      </c>
      <c r="L360" s="31">
        <v>315</v>
      </c>
      <c r="M360" s="32">
        <v>81289.85</v>
      </c>
      <c r="N360" s="32">
        <v>1260959.52</v>
      </c>
      <c r="O360" s="33">
        <f t="shared" si="47"/>
        <v>4.19</v>
      </c>
      <c r="P360" s="34">
        <f t="shared" si="45"/>
        <v>63.6568911511355</v>
      </c>
      <c r="Q360" s="35">
        <f t="shared" si="46"/>
        <v>15.5118937973191</v>
      </c>
      <c r="R360" s="35">
        <f t="shared" si="48"/>
        <v>14.2613771929825</v>
      </c>
      <c r="S360" s="33">
        <f t="shared" si="41"/>
        <v>597.53</v>
      </c>
      <c r="T360" s="36">
        <f t="shared" si="42"/>
        <v>1451.19</v>
      </c>
    </row>
    <row r="361" spans="1:20">
      <c r="A361" s="37">
        <v>45589</v>
      </c>
      <c r="B361" s="38" t="s">
        <v>516</v>
      </c>
      <c r="C361" s="38" t="s">
        <v>517</v>
      </c>
      <c r="D361" s="38" t="s">
        <v>518</v>
      </c>
      <c r="E361" s="38" t="s">
        <v>1572</v>
      </c>
      <c r="F361" s="38">
        <f t="shared" si="43"/>
        <v>2024</v>
      </c>
      <c r="G361" s="38" t="str">
        <f t="shared" si="44"/>
        <v>October</v>
      </c>
      <c r="H361" s="30">
        <v>167984</v>
      </c>
      <c r="I361" s="30">
        <v>5400</v>
      </c>
      <c r="J361" s="39">
        <v>1206</v>
      </c>
      <c r="K361" s="39">
        <v>563</v>
      </c>
      <c r="L361" s="39">
        <v>278</v>
      </c>
      <c r="M361" s="40">
        <v>99048.93</v>
      </c>
      <c r="N361" s="40">
        <v>1366324.42</v>
      </c>
      <c r="O361" s="33">
        <f t="shared" si="47"/>
        <v>3.21</v>
      </c>
      <c r="P361" s="34">
        <f t="shared" si="45"/>
        <v>82.1301243781094</v>
      </c>
      <c r="Q361" s="35">
        <f t="shared" si="46"/>
        <v>13.7944389707188</v>
      </c>
      <c r="R361" s="35">
        <f t="shared" si="48"/>
        <v>18.3423944444444</v>
      </c>
      <c r="S361" s="33">
        <f t="shared" ref="S361:S424" si="49">ROUND(M361/H361*1000,2)</f>
        <v>589.63</v>
      </c>
      <c r="T361" s="36">
        <f t="shared" si="42"/>
        <v>1279.44</v>
      </c>
    </row>
    <row r="362" spans="1:20">
      <c r="A362" s="28">
        <v>45590</v>
      </c>
      <c r="B362" s="29" t="s">
        <v>516</v>
      </c>
      <c r="C362" s="29" t="s">
        <v>517</v>
      </c>
      <c r="D362" s="29" t="s">
        <v>518</v>
      </c>
      <c r="E362" s="29" t="s">
        <v>1572</v>
      </c>
      <c r="F362" s="29">
        <f t="shared" si="43"/>
        <v>2024</v>
      </c>
      <c r="G362" s="29" t="str">
        <f t="shared" si="44"/>
        <v>October</v>
      </c>
      <c r="H362" s="30">
        <v>95036</v>
      </c>
      <c r="I362" s="30">
        <v>5272</v>
      </c>
      <c r="J362" s="31">
        <v>948</v>
      </c>
      <c r="K362" s="31">
        <v>435</v>
      </c>
      <c r="L362" s="31">
        <v>238</v>
      </c>
      <c r="M362" s="32">
        <v>52509.6</v>
      </c>
      <c r="N362" s="32">
        <v>1552232.36</v>
      </c>
      <c r="O362" s="33">
        <f t="shared" si="47"/>
        <v>5.55</v>
      </c>
      <c r="P362" s="34">
        <f t="shared" si="45"/>
        <v>55.3898734177215</v>
      </c>
      <c r="Q362" s="35">
        <f t="shared" si="46"/>
        <v>29.560925240337</v>
      </c>
      <c r="R362" s="35">
        <f t="shared" si="48"/>
        <v>9.96009104704097</v>
      </c>
      <c r="S362" s="33">
        <f t="shared" si="49"/>
        <v>552.52</v>
      </c>
      <c r="T362" s="36">
        <f t="shared" si="42"/>
        <v>2856.09</v>
      </c>
    </row>
    <row r="363" spans="1:20">
      <c r="A363" s="37">
        <v>45591</v>
      </c>
      <c r="B363" s="38" t="s">
        <v>516</v>
      </c>
      <c r="C363" s="38" t="s">
        <v>517</v>
      </c>
      <c r="D363" s="38" t="s">
        <v>518</v>
      </c>
      <c r="E363" s="38" t="s">
        <v>1573</v>
      </c>
      <c r="F363" s="38">
        <f t="shared" si="43"/>
        <v>2024</v>
      </c>
      <c r="G363" s="38" t="str">
        <f t="shared" si="44"/>
        <v>October</v>
      </c>
      <c r="H363" s="30">
        <v>59294</v>
      </c>
      <c r="I363" s="30">
        <v>3218</v>
      </c>
      <c r="J363" s="39">
        <v>771</v>
      </c>
      <c r="K363" s="39">
        <v>376</v>
      </c>
      <c r="L363" s="39">
        <v>216</v>
      </c>
      <c r="M363" s="40">
        <v>51407.62</v>
      </c>
      <c r="N363" s="40">
        <v>827192.52</v>
      </c>
      <c r="O363" s="33">
        <f t="shared" si="47"/>
        <v>5.43</v>
      </c>
      <c r="P363" s="34">
        <f t="shared" si="45"/>
        <v>66.6765499351492</v>
      </c>
      <c r="Q363" s="35">
        <f t="shared" si="46"/>
        <v>16.0908542352282</v>
      </c>
      <c r="R363" s="35">
        <f t="shared" si="48"/>
        <v>15.9750217526414</v>
      </c>
      <c r="S363" s="33">
        <f t="shared" si="49"/>
        <v>867</v>
      </c>
      <c r="T363" s="36">
        <f t="shared" si="42"/>
        <v>1509.09</v>
      </c>
    </row>
    <row r="364" spans="1:20">
      <c r="A364" s="28">
        <v>45592</v>
      </c>
      <c r="B364" s="29" t="s">
        <v>516</v>
      </c>
      <c r="C364" s="29" t="s">
        <v>517</v>
      </c>
      <c r="D364" s="29" t="s">
        <v>518</v>
      </c>
      <c r="E364" s="29" t="s">
        <v>1572</v>
      </c>
      <c r="F364" s="29">
        <f t="shared" si="43"/>
        <v>2024</v>
      </c>
      <c r="G364" s="29" t="str">
        <f t="shared" si="44"/>
        <v>October</v>
      </c>
      <c r="H364" s="30">
        <v>130677</v>
      </c>
      <c r="I364" s="30">
        <v>9462</v>
      </c>
      <c r="J364" s="31">
        <v>1831</v>
      </c>
      <c r="K364" s="31">
        <v>969</v>
      </c>
      <c r="L364" s="31">
        <v>562</v>
      </c>
      <c r="M364" s="32">
        <v>89431.65</v>
      </c>
      <c r="N364" s="32">
        <v>2487761.4</v>
      </c>
      <c r="O364" s="33">
        <f t="shared" si="47"/>
        <v>7.24</v>
      </c>
      <c r="P364" s="34">
        <f t="shared" si="45"/>
        <v>48.8430638995085</v>
      </c>
      <c r="Q364" s="35">
        <f t="shared" si="46"/>
        <v>27.8174605970034</v>
      </c>
      <c r="R364" s="35">
        <f t="shared" si="48"/>
        <v>9.45166455294864</v>
      </c>
      <c r="S364" s="33">
        <f t="shared" si="49"/>
        <v>684.37</v>
      </c>
      <c r="T364" s="36">
        <f t="shared" si="42"/>
        <v>2681.75</v>
      </c>
    </row>
    <row r="365" spans="1:20">
      <c r="A365" s="37">
        <v>45593</v>
      </c>
      <c r="B365" s="38" t="s">
        <v>516</v>
      </c>
      <c r="C365" s="38" t="s">
        <v>517</v>
      </c>
      <c r="D365" s="38" t="s">
        <v>518</v>
      </c>
      <c r="E365" s="38" t="s">
        <v>1572</v>
      </c>
      <c r="F365" s="38">
        <f t="shared" si="43"/>
        <v>2024</v>
      </c>
      <c r="G365" s="38" t="str">
        <f t="shared" si="44"/>
        <v>October</v>
      </c>
      <c r="H365" s="30">
        <v>97058</v>
      </c>
      <c r="I365" s="30">
        <v>3274</v>
      </c>
      <c r="J365" s="39">
        <v>651</v>
      </c>
      <c r="K365" s="39">
        <v>375</v>
      </c>
      <c r="L365" s="39">
        <v>190</v>
      </c>
      <c r="M365" s="40">
        <v>45063.28</v>
      </c>
      <c r="N365" s="40">
        <v>895881.61</v>
      </c>
      <c r="O365" s="33">
        <f t="shared" si="47"/>
        <v>3.37</v>
      </c>
      <c r="P365" s="34">
        <f t="shared" si="45"/>
        <v>69.2216282642089</v>
      </c>
      <c r="Q365" s="35">
        <f t="shared" si="46"/>
        <v>19.8805237878823</v>
      </c>
      <c r="R365" s="35">
        <f t="shared" si="48"/>
        <v>13.7639828955406</v>
      </c>
      <c r="S365" s="33">
        <f t="shared" si="49"/>
        <v>464.29</v>
      </c>
      <c r="T365" s="36">
        <f t="shared" si="42"/>
        <v>1888.05</v>
      </c>
    </row>
    <row r="366" spans="1:20">
      <c r="A366" s="28">
        <v>45594</v>
      </c>
      <c r="B366" s="29" t="s">
        <v>516</v>
      </c>
      <c r="C366" s="29" t="s">
        <v>517</v>
      </c>
      <c r="D366" s="29" t="s">
        <v>518</v>
      </c>
      <c r="E366" s="29" t="s">
        <v>1571</v>
      </c>
      <c r="F366" s="29">
        <f t="shared" si="43"/>
        <v>2024</v>
      </c>
      <c r="G366" s="29" t="str">
        <f t="shared" si="44"/>
        <v>October</v>
      </c>
      <c r="H366" s="30">
        <v>179478</v>
      </c>
      <c r="I366" s="30">
        <v>6773</v>
      </c>
      <c r="J366" s="31">
        <v>1044</v>
      </c>
      <c r="K366" s="31">
        <v>667</v>
      </c>
      <c r="L366" s="31">
        <v>270</v>
      </c>
      <c r="M366" s="32">
        <v>91661.15</v>
      </c>
      <c r="N366" s="32">
        <v>2080724.29</v>
      </c>
      <c r="O366" s="33">
        <f t="shared" si="47"/>
        <v>3.77</v>
      </c>
      <c r="P366" s="34">
        <f t="shared" si="45"/>
        <v>87.7980363984674</v>
      </c>
      <c r="Q366" s="35">
        <f t="shared" si="46"/>
        <v>22.7001765742629</v>
      </c>
      <c r="R366" s="35">
        <f t="shared" si="48"/>
        <v>13.5333161080762</v>
      </c>
      <c r="S366" s="33">
        <f t="shared" si="49"/>
        <v>510.71</v>
      </c>
      <c r="T366" s="36">
        <f t="shared" ref="T366:T429" si="50">ROUND((N366-M366)/M366*100,2)</f>
        <v>2170.02</v>
      </c>
    </row>
    <row r="367" spans="1:20">
      <c r="A367" s="37">
        <v>45595</v>
      </c>
      <c r="B367" s="38" t="s">
        <v>516</v>
      </c>
      <c r="C367" s="38" t="s">
        <v>517</v>
      </c>
      <c r="D367" s="38" t="s">
        <v>518</v>
      </c>
      <c r="E367" s="38" t="s">
        <v>1573</v>
      </c>
      <c r="F367" s="38">
        <f t="shared" si="43"/>
        <v>2024</v>
      </c>
      <c r="G367" s="38" t="str">
        <f t="shared" si="44"/>
        <v>October</v>
      </c>
      <c r="H367" s="30">
        <v>281673</v>
      </c>
      <c r="I367" s="30">
        <v>15379</v>
      </c>
      <c r="J367" s="39">
        <v>3271</v>
      </c>
      <c r="K367" s="39">
        <v>1753</v>
      </c>
      <c r="L367" s="39">
        <v>1035</v>
      </c>
      <c r="M367" s="40">
        <v>204309.98</v>
      </c>
      <c r="N367" s="40">
        <v>3459761.8</v>
      </c>
      <c r="O367" s="33">
        <f t="shared" si="47"/>
        <v>5.46</v>
      </c>
      <c r="P367" s="34">
        <f t="shared" si="45"/>
        <v>62.4610149801284</v>
      </c>
      <c r="Q367" s="35">
        <f t="shared" si="46"/>
        <v>16.9338854616891</v>
      </c>
      <c r="R367" s="35">
        <f t="shared" si="48"/>
        <v>13.2849977241693</v>
      </c>
      <c r="S367" s="33">
        <f t="shared" si="49"/>
        <v>725.34</v>
      </c>
      <c r="T367" s="36">
        <f t="shared" si="50"/>
        <v>1593.39</v>
      </c>
    </row>
    <row r="368" spans="1:20">
      <c r="A368" s="28">
        <v>45596</v>
      </c>
      <c r="B368" s="29" t="s">
        <v>516</v>
      </c>
      <c r="C368" s="29" t="s">
        <v>517</v>
      </c>
      <c r="D368" s="29" t="s">
        <v>518</v>
      </c>
      <c r="E368" s="29" t="s">
        <v>1573</v>
      </c>
      <c r="F368" s="29">
        <f t="shared" si="43"/>
        <v>2024</v>
      </c>
      <c r="G368" s="29" t="str">
        <f t="shared" si="44"/>
        <v>October</v>
      </c>
      <c r="H368" s="30">
        <v>116450</v>
      </c>
      <c r="I368" s="30">
        <v>6235</v>
      </c>
      <c r="J368" s="31">
        <v>1558</v>
      </c>
      <c r="K368" s="31">
        <v>824</v>
      </c>
      <c r="L368" s="31">
        <v>360</v>
      </c>
      <c r="M368" s="32">
        <v>65629.02</v>
      </c>
      <c r="N368" s="32">
        <v>1949668.5</v>
      </c>
      <c r="O368" s="33">
        <f t="shared" si="47"/>
        <v>5.35</v>
      </c>
      <c r="P368" s="34">
        <f t="shared" si="45"/>
        <v>42.1238896020539</v>
      </c>
      <c r="Q368" s="35">
        <f t="shared" si="46"/>
        <v>29.7074144943807</v>
      </c>
      <c r="R368" s="35">
        <f t="shared" si="48"/>
        <v>10.5259053728949</v>
      </c>
      <c r="S368" s="33">
        <f t="shared" si="49"/>
        <v>563.58</v>
      </c>
      <c r="T368" s="36">
        <f t="shared" si="50"/>
        <v>2870.74</v>
      </c>
    </row>
    <row r="369" spans="1:20">
      <c r="A369" s="37">
        <v>45302</v>
      </c>
      <c r="B369" s="38" t="s">
        <v>516</v>
      </c>
      <c r="C369" s="38" t="s">
        <v>517</v>
      </c>
      <c r="D369" s="38" t="s">
        <v>518</v>
      </c>
      <c r="E369" s="38" t="s">
        <v>1571</v>
      </c>
      <c r="F369" s="38">
        <f t="shared" si="43"/>
        <v>2024</v>
      </c>
      <c r="G369" s="38" t="str">
        <f t="shared" si="44"/>
        <v>January</v>
      </c>
      <c r="H369" s="30">
        <v>225961</v>
      </c>
      <c r="I369" s="30">
        <v>14171</v>
      </c>
      <c r="J369" s="39">
        <v>3221</v>
      </c>
      <c r="K369" s="39">
        <v>1819</v>
      </c>
      <c r="L369" s="39">
        <v>993</v>
      </c>
      <c r="M369" s="40">
        <v>168277.96</v>
      </c>
      <c r="N369" s="40">
        <v>3222207.73</v>
      </c>
      <c r="O369" s="33">
        <f t="shared" si="47"/>
        <v>6.27</v>
      </c>
      <c r="P369" s="34">
        <f t="shared" si="45"/>
        <v>52.2440111766532</v>
      </c>
      <c r="Q369" s="35">
        <f t="shared" si="46"/>
        <v>19.1481268848279</v>
      </c>
      <c r="R369" s="35">
        <f t="shared" si="48"/>
        <v>11.8748119398772</v>
      </c>
      <c r="S369" s="33">
        <f t="shared" si="49"/>
        <v>744.72</v>
      </c>
      <c r="T369" s="36">
        <f t="shared" si="50"/>
        <v>1814.81</v>
      </c>
    </row>
    <row r="370" spans="1:20">
      <c r="A370" s="28">
        <v>45333</v>
      </c>
      <c r="B370" s="29" t="s">
        <v>516</v>
      </c>
      <c r="C370" s="29" t="s">
        <v>517</v>
      </c>
      <c r="D370" s="29" t="s">
        <v>518</v>
      </c>
      <c r="E370" s="29" t="s">
        <v>1573</v>
      </c>
      <c r="F370" s="29">
        <f t="shared" si="43"/>
        <v>2024</v>
      </c>
      <c r="G370" s="29" t="str">
        <f t="shared" si="44"/>
        <v>February</v>
      </c>
      <c r="H370" s="30">
        <v>106756</v>
      </c>
      <c r="I370" s="30">
        <v>7681</v>
      </c>
      <c r="J370" s="31">
        <v>1748</v>
      </c>
      <c r="K370" s="31">
        <v>926</v>
      </c>
      <c r="L370" s="31">
        <v>405</v>
      </c>
      <c r="M370" s="32">
        <v>72448.35</v>
      </c>
      <c r="N370" s="32">
        <v>1950812.15</v>
      </c>
      <c r="O370" s="33">
        <f t="shared" si="47"/>
        <v>7.19</v>
      </c>
      <c r="P370" s="34">
        <f t="shared" si="45"/>
        <v>41.4464244851259</v>
      </c>
      <c r="Q370" s="35">
        <f t="shared" si="46"/>
        <v>26.9269369143673</v>
      </c>
      <c r="R370" s="35">
        <f t="shared" si="48"/>
        <v>9.43215076161958</v>
      </c>
      <c r="S370" s="33">
        <f t="shared" si="49"/>
        <v>678.63</v>
      </c>
      <c r="T370" s="36">
        <f t="shared" si="50"/>
        <v>2592.69</v>
      </c>
    </row>
    <row r="371" spans="1:20">
      <c r="A371" s="37">
        <v>45362</v>
      </c>
      <c r="B371" s="38" t="s">
        <v>516</v>
      </c>
      <c r="C371" s="38" t="s">
        <v>517</v>
      </c>
      <c r="D371" s="38" t="s">
        <v>518</v>
      </c>
      <c r="E371" s="38" t="s">
        <v>1571</v>
      </c>
      <c r="F371" s="38">
        <f t="shared" si="43"/>
        <v>2024</v>
      </c>
      <c r="G371" s="38" t="str">
        <f t="shared" si="44"/>
        <v>March</v>
      </c>
      <c r="H371" s="30">
        <v>232832</v>
      </c>
      <c r="I371" s="30">
        <v>9147</v>
      </c>
      <c r="J371" s="39">
        <v>1633</v>
      </c>
      <c r="K371" s="39">
        <v>749</v>
      </c>
      <c r="L371" s="39">
        <v>397</v>
      </c>
      <c r="M371" s="40">
        <v>193724.4</v>
      </c>
      <c r="N371" s="40">
        <v>3007990.84</v>
      </c>
      <c r="O371" s="33">
        <f t="shared" si="47"/>
        <v>3.93</v>
      </c>
      <c r="P371" s="34">
        <f t="shared" si="45"/>
        <v>118.630985915493</v>
      </c>
      <c r="Q371" s="35">
        <f t="shared" si="46"/>
        <v>15.527165602268</v>
      </c>
      <c r="R371" s="35">
        <f t="shared" si="48"/>
        <v>21.1790095113152</v>
      </c>
      <c r="S371" s="33">
        <f t="shared" si="49"/>
        <v>832.04</v>
      </c>
      <c r="T371" s="36">
        <f t="shared" si="50"/>
        <v>1452.72</v>
      </c>
    </row>
    <row r="372" spans="1:20">
      <c r="A372" s="28">
        <v>45393</v>
      </c>
      <c r="B372" s="29" t="s">
        <v>516</v>
      </c>
      <c r="C372" s="29" t="s">
        <v>517</v>
      </c>
      <c r="D372" s="29" t="s">
        <v>518</v>
      </c>
      <c r="E372" s="29" t="s">
        <v>1572</v>
      </c>
      <c r="F372" s="29">
        <f t="shared" si="43"/>
        <v>2024</v>
      </c>
      <c r="G372" s="29" t="str">
        <f t="shared" si="44"/>
        <v>April</v>
      </c>
      <c r="H372" s="30">
        <v>283483</v>
      </c>
      <c r="I372" s="30">
        <v>9399</v>
      </c>
      <c r="J372" s="31">
        <v>2257</v>
      </c>
      <c r="K372" s="31">
        <v>1289</v>
      </c>
      <c r="L372" s="31">
        <v>646</v>
      </c>
      <c r="M372" s="32">
        <v>152209.39</v>
      </c>
      <c r="N372" s="32">
        <v>2606457.79</v>
      </c>
      <c r="O372" s="33">
        <f t="shared" si="47"/>
        <v>3.32</v>
      </c>
      <c r="P372" s="34">
        <f t="shared" si="45"/>
        <v>67.4388081524147</v>
      </c>
      <c r="Q372" s="35">
        <f t="shared" si="46"/>
        <v>17.1241589628603</v>
      </c>
      <c r="R372" s="35">
        <f t="shared" si="48"/>
        <v>16.1942110862858</v>
      </c>
      <c r="S372" s="33">
        <f t="shared" si="49"/>
        <v>536.93</v>
      </c>
      <c r="T372" s="36">
        <f t="shared" si="50"/>
        <v>1612.42</v>
      </c>
    </row>
    <row r="373" spans="1:20">
      <c r="A373" s="37">
        <v>45423</v>
      </c>
      <c r="B373" s="38" t="s">
        <v>516</v>
      </c>
      <c r="C373" s="38" t="s">
        <v>517</v>
      </c>
      <c r="D373" s="38" t="s">
        <v>518</v>
      </c>
      <c r="E373" s="38" t="s">
        <v>1573</v>
      </c>
      <c r="F373" s="38">
        <f t="shared" si="43"/>
        <v>2024</v>
      </c>
      <c r="G373" s="38" t="str">
        <f t="shared" si="44"/>
        <v>May</v>
      </c>
      <c r="H373" s="30">
        <v>239123</v>
      </c>
      <c r="I373" s="30">
        <v>8684</v>
      </c>
      <c r="J373" s="39">
        <v>1946</v>
      </c>
      <c r="K373" s="39">
        <v>1221</v>
      </c>
      <c r="L373" s="39">
        <v>722</v>
      </c>
      <c r="M373" s="40">
        <v>204001.7</v>
      </c>
      <c r="N373" s="40">
        <v>2714132.08</v>
      </c>
      <c r="O373" s="33">
        <f t="shared" si="47"/>
        <v>3.63</v>
      </c>
      <c r="P373" s="34">
        <f t="shared" si="45"/>
        <v>104.831294964029</v>
      </c>
      <c r="Q373" s="35">
        <f t="shared" si="46"/>
        <v>13.3044581491233</v>
      </c>
      <c r="R373" s="35">
        <f t="shared" si="48"/>
        <v>23.4916743436205</v>
      </c>
      <c r="S373" s="33">
        <f t="shared" si="49"/>
        <v>853.12</v>
      </c>
      <c r="T373" s="36">
        <f t="shared" si="50"/>
        <v>1230.45</v>
      </c>
    </row>
    <row r="374" spans="1:20">
      <c r="A374" s="28">
        <v>45454</v>
      </c>
      <c r="B374" s="29" t="s">
        <v>516</v>
      </c>
      <c r="C374" s="29" t="s">
        <v>517</v>
      </c>
      <c r="D374" s="29" t="s">
        <v>518</v>
      </c>
      <c r="E374" s="29" t="s">
        <v>1573</v>
      </c>
      <c r="F374" s="29">
        <f t="shared" si="43"/>
        <v>2024</v>
      </c>
      <c r="G374" s="29" t="str">
        <f t="shared" si="44"/>
        <v>June</v>
      </c>
      <c r="H374" s="30">
        <v>276380</v>
      </c>
      <c r="I374" s="30">
        <v>16064</v>
      </c>
      <c r="J374" s="31">
        <v>2534</v>
      </c>
      <c r="K374" s="31">
        <v>1232</v>
      </c>
      <c r="L374" s="31">
        <v>551</v>
      </c>
      <c r="M374" s="32">
        <v>170390.62</v>
      </c>
      <c r="N374" s="32">
        <v>3092023.95</v>
      </c>
      <c r="O374" s="33">
        <f t="shared" si="47"/>
        <v>5.81</v>
      </c>
      <c r="P374" s="34">
        <f t="shared" si="45"/>
        <v>67.2417600631413</v>
      </c>
      <c r="Q374" s="35">
        <f t="shared" si="46"/>
        <v>18.146679377069</v>
      </c>
      <c r="R374" s="35">
        <f t="shared" si="48"/>
        <v>10.6069858067729</v>
      </c>
      <c r="S374" s="33">
        <f t="shared" si="49"/>
        <v>616.51</v>
      </c>
      <c r="T374" s="36">
        <f t="shared" si="50"/>
        <v>1714.67</v>
      </c>
    </row>
    <row r="375" spans="1:20">
      <c r="A375" s="37">
        <v>45484</v>
      </c>
      <c r="B375" s="38" t="s">
        <v>516</v>
      </c>
      <c r="C375" s="38" t="s">
        <v>517</v>
      </c>
      <c r="D375" s="38" t="s">
        <v>518</v>
      </c>
      <c r="E375" s="38" t="s">
        <v>1571</v>
      </c>
      <c r="F375" s="38">
        <f t="shared" si="43"/>
        <v>2024</v>
      </c>
      <c r="G375" s="38" t="str">
        <f t="shared" si="44"/>
        <v>July</v>
      </c>
      <c r="H375" s="30">
        <v>270180</v>
      </c>
      <c r="I375" s="30">
        <v>14454</v>
      </c>
      <c r="J375" s="39">
        <v>3258</v>
      </c>
      <c r="K375" s="39">
        <v>1917</v>
      </c>
      <c r="L375" s="39">
        <v>990</v>
      </c>
      <c r="M375" s="40">
        <v>268873.26</v>
      </c>
      <c r="N375" s="40">
        <v>6443869.42</v>
      </c>
      <c r="O375" s="33">
        <f t="shared" si="47"/>
        <v>5.35</v>
      </c>
      <c r="P375" s="34">
        <f t="shared" si="45"/>
        <v>82.5270902394107</v>
      </c>
      <c r="Q375" s="35">
        <f t="shared" si="46"/>
        <v>23.9661966385203</v>
      </c>
      <c r="R375" s="35">
        <f t="shared" si="48"/>
        <v>18.60199667912</v>
      </c>
      <c r="S375" s="33">
        <f t="shared" si="49"/>
        <v>995.16</v>
      </c>
      <c r="T375" s="36">
        <f t="shared" si="50"/>
        <v>2296.62</v>
      </c>
    </row>
    <row r="376" spans="1:20">
      <c r="A376" s="28">
        <v>45515</v>
      </c>
      <c r="B376" s="29" t="s">
        <v>516</v>
      </c>
      <c r="C376" s="29" t="s">
        <v>517</v>
      </c>
      <c r="D376" s="29" t="s">
        <v>518</v>
      </c>
      <c r="E376" s="29" t="s">
        <v>1571</v>
      </c>
      <c r="F376" s="29">
        <f t="shared" si="43"/>
        <v>2024</v>
      </c>
      <c r="G376" s="29" t="str">
        <f t="shared" si="44"/>
        <v>August</v>
      </c>
      <c r="H376" s="30">
        <v>286662</v>
      </c>
      <c r="I376" s="30">
        <v>11043</v>
      </c>
      <c r="J376" s="31">
        <v>1712</v>
      </c>
      <c r="K376" s="31">
        <v>779</v>
      </c>
      <c r="L376" s="31">
        <v>318</v>
      </c>
      <c r="M376" s="32">
        <v>131184.55</v>
      </c>
      <c r="N376" s="32">
        <v>1392508.14</v>
      </c>
      <c r="O376" s="33">
        <f t="shared" si="47"/>
        <v>3.85</v>
      </c>
      <c r="P376" s="34">
        <f t="shared" si="45"/>
        <v>76.6264894859813</v>
      </c>
      <c r="Q376" s="35">
        <f t="shared" si="46"/>
        <v>10.6148791149568</v>
      </c>
      <c r="R376" s="35">
        <f t="shared" si="48"/>
        <v>11.8794304084035</v>
      </c>
      <c r="S376" s="33">
        <f t="shared" si="49"/>
        <v>457.63</v>
      </c>
      <c r="T376" s="36">
        <f t="shared" si="50"/>
        <v>961.49</v>
      </c>
    </row>
    <row r="377" spans="1:20">
      <c r="A377" s="37">
        <v>45546</v>
      </c>
      <c r="B377" s="38" t="s">
        <v>516</v>
      </c>
      <c r="C377" s="38" t="s">
        <v>517</v>
      </c>
      <c r="D377" s="38" t="s">
        <v>518</v>
      </c>
      <c r="E377" s="38" t="s">
        <v>1572</v>
      </c>
      <c r="F377" s="38">
        <f t="shared" si="43"/>
        <v>2024</v>
      </c>
      <c r="G377" s="38" t="str">
        <f t="shared" si="44"/>
        <v>September</v>
      </c>
      <c r="H377" s="30">
        <v>181568</v>
      </c>
      <c r="I377" s="30">
        <v>10036</v>
      </c>
      <c r="J377" s="39">
        <v>2164</v>
      </c>
      <c r="K377" s="39">
        <v>1043</v>
      </c>
      <c r="L377" s="39">
        <v>557</v>
      </c>
      <c r="M377" s="40">
        <v>105288.6</v>
      </c>
      <c r="N377" s="40">
        <v>2943846.76</v>
      </c>
      <c r="O377" s="33">
        <f t="shared" si="47"/>
        <v>5.53</v>
      </c>
      <c r="P377" s="34">
        <f t="shared" si="45"/>
        <v>48.6546210720887</v>
      </c>
      <c r="Q377" s="35">
        <f t="shared" si="46"/>
        <v>27.9597863396417</v>
      </c>
      <c r="R377" s="35">
        <f t="shared" si="48"/>
        <v>10.4910920685532</v>
      </c>
      <c r="S377" s="33">
        <f t="shared" si="49"/>
        <v>579.89</v>
      </c>
      <c r="T377" s="36">
        <f t="shared" si="50"/>
        <v>2695.98</v>
      </c>
    </row>
    <row r="378" spans="1:20">
      <c r="A378" s="28">
        <v>45576</v>
      </c>
      <c r="B378" s="29" t="s">
        <v>516</v>
      </c>
      <c r="C378" s="29" t="s">
        <v>517</v>
      </c>
      <c r="D378" s="29" t="s">
        <v>518</v>
      </c>
      <c r="E378" s="29" t="s">
        <v>1571</v>
      </c>
      <c r="F378" s="29">
        <f t="shared" si="43"/>
        <v>2024</v>
      </c>
      <c r="G378" s="29" t="str">
        <f t="shared" si="44"/>
        <v>October</v>
      </c>
      <c r="H378" s="30">
        <v>55161</v>
      </c>
      <c r="I378" s="30">
        <v>1674</v>
      </c>
      <c r="J378" s="31">
        <v>327</v>
      </c>
      <c r="K378" s="31">
        <v>182</v>
      </c>
      <c r="L378" s="31">
        <v>93</v>
      </c>
      <c r="M378" s="32">
        <v>27683.46</v>
      </c>
      <c r="N378" s="32">
        <v>419254.85</v>
      </c>
      <c r="O378" s="33">
        <f t="shared" si="47"/>
        <v>3.03</v>
      </c>
      <c r="P378" s="34">
        <f t="shared" si="45"/>
        <v>84.6588990825688</v>
      </c>
      <c r="Q378" s="35">
        <f t="shared" si="46"/>
        <v>15.1445971710184</v>
      </c>
      <c r="R378" s="35">
        <f t="shared" si="48"/>
        <v>16.537311827957</v>
      </c>
      <c r="S378" s="33">
        <f t="shared" si="49"/>
        <v>501.87</v>
      </c>
      <c r="T378" s="36">
        <f t="shared" si="50"/>
        <v>1414.46</v>
      </c>
    </row>
    <row r="379" spans="1:20">
      <c r="A379" s="37">
        <v>45607</v>
      </c>
      <c r="B379" s="38" t="s">
        <v>516</v>
      </c>
      <c r="C379" s="38" t="s">
        <v>517</v>
      </c>
      <c r="D379" s="38" t="s">
        <v>518</v>
      </c>
      <c r="E379" s="38" t="s">
        <v>1573</v>
      </c>
      <c r="F379" s="38">
        <f t="shared" si="43"/>
        <v>2024</v>
      </c>
      <c r="G379" s="38" t="str">
        <f t="shared" si="44"/>
        <v>November</v>
      </c>
      <c r="H379" s="30">
        <v>146332</v>
      </c>
      <c r="I379" s="30">
        <v>7956</v>
      </c>
      <c r="J379" s="39">
        <v>1417</v>
      </c>
      <c r="K379" s="39">
        <v>687</v>
      </c>
      <c r="L379" s="39">
        <v>389</v>
      </c>
      <c r="M379" s="40">
        <v>145598.6</v>
      </c>
      <c r="N379" s="40">
        <v>1883807.49</v>
      </c>
      <c r="O379" s="33">
        <f t="shared" si="47"/>
        <v>5.44</v>
      </c>
      <c r="P379" s="34">
        <f t="shared" si="45"/>
        <v>102.751305575159</v>
      </c>
      <c r="Q379" s="35">
        <f t="shared" si="46"/>
        <v>12.9383626628278</v>
      </c>
      <c r="R379" s="35">
        <f t="shared" si="48"/>
        <v>18.3004776269482</v>
      </c>
      <c r="S379" s="33">
        <f t="shared" si="49"/>
        <v>994.99</v>
      </c>
      <c r="T379" s="36">
        <f t="shared" si="50"/>
        <v>1193.84</v>
      </c>
    </row>
    <row r="380" spans="1:20">
      <c r="A380" s="28">
        <v>45637</v>
      </c>
      <c r="B380" s="29" t="s">
        <v>516</v>
      </c>
      <c r="C380" s="29" t="s">
        <v>517</v>
      </c>
      <c r="D380" s="29" t="s">
        <v>518</v>
      </c>
      <c r="E380" s="29" t="s">
        <v>1571</v>
      </c>
      <c r="F380" s="29">
        <f t="shared" si="43"/>
        <v>2024</v>
      </c>
      <c r="G380" s="29" t="str">
        <f t="shared" si="44"/>
        <v>December</v>
      </c>
      <c r="H380" s="30">
        <v>283452</v>
      </c>
      <c r="I380" s="30">
        <v>10161</v>
      </c>
      <c r="J380" s="31">
        <v>2461</v>
      </c>
      <c r="K380" s="31">
        <v>1357</v>
      </c>
      <c r="L380" s="31">
        <v>599</v>
      </c>
      <c r="M380" s="32">
        <v>241562.24</v>
      </c>
      <c r="N380" s="32">
        <v>2333253.91</v>
      </c>
      <c r="O380" s="33">
        <f t="shared" si="47"/>
        <v>3.58</v>
      </c>
      <c r="P380" s="34">
        <f t="shared" si="45"/>
        <v>98.1561316537993</v>
      </c>
      <c r="Q380" s="35">
        <f t="shared" si="46"/>
        <v>9.65901752691149</v>
      </c>
      <c r="R380" s="35">
        <f t="shared" si="48"/>
        <v>23.7734711150477</v>
      </c>
      <c r="S380" s="33">
        <f t="shared" si="49"/>
        <v>852.22</v>
      </c>
      <c r="T380" s="36">
        <f t="shared" si="50"/>
        <v>865.9</v>
      </c>
    </row>
    <row r="381" spans="1:20">
      <c r="A381" s="37">
        <v>45609</v>
      </c>
      <c r="B381" s="38" t="s">
        <v>516</v>
      </c>
      <c r="C381" s="38" t="s">
        <v>517</v>
      </c>
      <c r="D381" s="38" t="s">
        <v>518</v>
      </c>
      <c r="E381" s="38" t="s">
        <v>1571</v>
      </c>
      <c r="F381" s="38">
        <f t="shared" si="43"/>
        <v>2024</v>
      </c>
      <c r="G381" s="38" t="str">
        <f t="shared" si="44"/>
        <v>November</v>
      </c>
      <c r="H381" s="30">
        <v>266279</v>
      </c>
      <c r="I381" s="30">
        <v>21175</v>
      </c>
      <c r="J381" s="39">
        <v>3231</v>
      </c>
      <c r="K381" s="39">
        <v>1568</v>
      </c>
      <c r="L381" s="39">
        <v>646</v>
      </c>
      <c r="M381" s="40">
        <v>219965.47</v>
      </c>
      <c r="N381" s="40">
        <v>2905813.4</v>
      </c>
      <c r="O381" s="33">
        <f t="shared" si="47"/>
        <v>7.95</v>
      </c>
      <c r="P381" s="34">
        <f t="shared" si="45"/>
        <v>68.0796874032807</v>
      </c>
      <c r="Q381" s="35">
        <f t="shared" si="46"/>
        <v>13.2103161464388</v>
      </c>
      <c r="R381" s="35">
        <f t="shared" si="48"/>
        <v>10.3879796930342</v>
      </c>
      <c r="S381" s="33">
        <f t="shared" si="49"/>
        <v>826.07</v>
      </c>
      <c r="T381" s="36">
        <f t="shared" si="50"/>
        <v>1221.03</v>
      </c>
    </row>
    <row r="382" spans="1:20">
      <c r="A382" s="28">
        <v>45610</v>
      </c>
      <c r="B382" s="29" t="s">
        <v>516</v>
      </c>
      <c r="C382" s="29" t="s">
        <v>517</v>
      </c>
      <c r="D382" s="29" t="s">
        <v>518</v>
      </c>
      <c r="E382" s="29" t="s">
        <v>1573</v>
      </c>
      <c r="F382" s="29">
        <f t="shared" si="43"/>
        <v>2024</v>
      </c>
      <c r="G382" s="29" t="str">
        <f t="shared" si="44"/>
        <v>November</v>
      </c>
      <c r="H382" s="30">
        <v>126096</v>
      </c>
      <c r="I382" s="30">
        <v>4710</v>
      </c>
      <c r="J382" s="31">
        <v>786</v>
      </c>
      <c r="K382" s="31">
        <v>422</v>
      </c>
      <c r="L382" s="31">
        <v>172</v>
      </c>
      <c r="M382" s="32">
        <v>75860.32</v>
      </c>
      <c r="N382" s="32">
        <v>757098.6</v>
      </c>
      <c r="O382" s="33">
        <f t="shared" si="47"/>
        <v>3.74</v>
      </c>
      <c r="P382" s="34">
        <f t="shared" si="45"/>
        <v>96.5144020356234</v>
      </c>
      <c r="Q382" s="35">
        <f t="shared" si="46"/>
        <v>9.98016617910391</v>
      </c>
      <c r="R382" s="35">
        <f t="shared" si="48"/>
        <v>16.1062250530786</v>
      </c>
      <c r="S382" s="33">
        <f t="shared" si="49"/>
        <v>601.61</v>
      </c>
      <c r="T382" s="36">
        <f t="shared" si="50"/>
        <v>898.02</v>
      </c>
    </row>
    <row r="383" spans="1:20">
      <c r="A383" s="37">
        <v>45611</v>
      </c>
      <c r="B383" s="38" t="s">
        <v>516</v>
      </c>
      <c r="C383" s="38" t="s">
        <v>517</v>
      </c>
      <c r="D383" s="38" t="s">
        <v>518</v>
      </c>
      <c r="E383" s="38" t="s">
        <v>1572</v>
      </c>
      <c r="F383" s="38">
        <f t="shared" si="43"/>
        <v>2024</v>
      </c>
      <c r="G383" s="38" t="str">
        <f t="shared" si="44"/>
        <v>November</v>
      </c>
      <c r="H383" s="30">
        <v>72191</v>
      </c>
      <c r="I383" s="30">
        <v>4406</v>
      </c>
      <c r="J383" s="39">
        <v>911</v>
      </c>
      <c r="K383" s="39">
        <v>578</v>
      </c>
      <c r="L383" s="39">
        <v>345</v>
      </c>
      <c r="M383" s="40">
        <v>56628.01</v>
      </c>
      <c r="N383" s="40">
        <v>1560935.41</v>
      </c>
      <c r="O383" s="33">
        <f t="shared" si="47"/>
        <v>6.1</v>
      </c>
      <c r="P383" s="34">
        <f t="shared" si="45"/>
        <v>62.1602744237102</v>
      </c>
      <c r="Q383" s="35">
        <f t="shared" si="46"/>
        <v>27.5647230054526</v>
      </c>
      <c r="R383" s="35">
        <f t="shared" si="48"/>
        <v>12.8524761688606</v>
      </c>
      <c r="S383" s="33">
        <f t="shared" si="49"/>
        <v>784.42</v>
      </c>
      <c r="T383" s="36">
        <f t="shared" si="50"/>
        <v>2656.47</v>
      </c>
    </row>
    <row r="384" spans="1:20">
      <c r="A384" s="28">
        <v>45612</v>
      </c>
      <c r="B384" s="29" t="s">
        <v>516</v>
      </c>
      <c r="C384" s="29" t="s">
        <v>517</v>
      </c>
      <c r="D384" s="29" t="s">
        <v>518</v>
      </c>
      <c r="E384" s="29" t="s">
        <v>1573</v>
      </c>
      <c r="F384" s="29">
        <f t="shared" si="43"/>
        <v>2024</v>
      </c>
      <c r="G384" s="29" t="str">
        <f t="shared" si="44"/>
        <v>November</v>
      </c>
      <c r="H384" s="30">
        <v>102772</v>
      </c>
      <c r="I384" s="30">
        <v>7546</v>
      </c>
      <c r="J384" s="31">
        <v>1445</v>
      </c>
      <c r="K384" s="31">
        <v>670</v>
      </c>
      <c r="L384" s="31">
        <v>401</v>
      </c>
      <c r="M384" s="32">
        <v>91991.98</v>
      </c>
      <c r="N384" s="32">
        <v>2282140.1</v>
      </c>
      <c r="O384" s="33">
        <f t="shared" si="47"/>
        <v>7.34</v>
      </c>
      <c r="P384" s="34">
        <f t="shared" si="45"/>
        <v>63.6622698961938</v>
      </c>
      <c r="Q384" s="35">
        <f t="shared" si="46"/>
        <v>24.8080332655086</v>
      </c>
      <c r="R384" s="35">
        <f t="shared" si="48"/>
        <v>12.1908269281739</v>
      </c>
      <c r="S384" s="33">
        <f t="shared" si="49"/>
        <v>895.11</v>
      </c>
      <c r="T384" s="36">
        <f t="shared" si="50"/>
        <v>2380.8</v>
      </c>
    </row>
    <row r="385" spans="1:20">
      <c r="A385" s="37">
        <v>45613</v>
      </c>
      <c r="B385" s="38" t="s">
        <v>516</v>
      </c>
      <c r="C385" s="38" t="s">
        <v>517</v>
      </c>
      <c r="D385" s="38" t="s">
        <v>518</v>
      </c>
      <c r="E385" s="38" t="s">
        <v>1572</v>
      </c>
      <c r="F385" s="38">
        <f t="shared" si="43"/>
        <v>2024</v>
      </c>
      <c r="G385" s="38" t="str">
        <f t="shared" si="44"/>
        <v>November</v>
      </c>
      <c r="H385" s="30">
        <v>110873</v>
      </c>
      <c r="I385" s="30">
        <v>5990</v>
      </c>
      <c r="J385" s="39">
        <v>1401</v>
      </c>
      <c r="K385" s="39">
        <v>803</v>
      </c>
      <c r="L385" s="39">
        <v>465</v>
      </c>
      <c r="M385" s="40">
        <v>86112.93</v>
      </c>
      <c r="N385" s="40">
        <v>2382488.17</v>
      </c>
      <c r="O385" s="33">
        <f t="shared" si="47"/>
        <v>5.4</v>
      </c>
      <c r="P385" s="34">
        <f t="shared" si="45"/>
        <v>61.4653319057816</v>
      </c>
      <c r="Q385" s="35">
        <f t="shared" si="46"/>
        <v>27.6670201559743</v>
      </c>
      <c r="R385" s="35">
        <f t="shared" si="48"/>
        <v>14.3761151919866</v>
      </c>
      <c r="S385" s="33">
        <f t="shared" si="49"/>
        <v>776.68</v>
      </c>
      <c r="T385" s="36">
        <f t="shared" si="50"/>
        <v>2666.7</v>
      </c>
    </row>
    <row r="386" spans="1:20">
      <c r="A386" s="28">
        <v>45614</v>
      </c>
      <c r="B386" s="29" t="s">
        <v>516</v>
      </c>
      <c r="C386" s="29" t="s">
        <v>517</v>
      </c>
      <c r="D386" s="29" t="s">
        <v>518</v>
      </c>
      <c r="E386" s="29" t="s">
        <v>1571</v>
      </c>
      <c r="F386" s="29">
        <f t="shared" ref="F386:F449" si="51">YEAR(A386)</f>
        <v>2024</v>
      </c>
      <c r="G386" s="29" t="str">
        <f t="shared" ref="G386:G449" si="52">TEXT(A386,"mmmm")</f>
        <v>November</v>
      </c>
      <c r="H386" s="30">
        <v>204362</v>
      </c>
      <c r="I386" s="30">
        <v>14066</v>
      </c>
      <c r="J386" s="31">
        <v>3141</v>
      </c>
      <c r="K386" s="31">
        <v>1562</v>
      </c>
      <c r="L386" s="31">
        <v>659</v>
      </c>
      <c r="M386" s="32">
        <v>184747.29</v>
      </c>
      <c r="N386" s="32">
        <v>3568654</v>
      </c>
      <c r="O386" s="33">
        <f t="shared" si="47"/>
        <v>6.88</v>
      </c>
      <c r="P386" s="34">
        <f t="shared" ref="P386:P449" si="53">M386/J386</f>
        <v>58.8179847182426</v>
      </c>
      <c r="Q386" s="35">
        <f t="shared" ref="Q386:Q449" si="54">N386/M386</f>
        <v>19.3164078347239</v>
      </c>
      <c r="R386" s="35">
        <f t="shared" si="48"/>
        <v>13.1343160813309</v>
      </c>
      <c r="S386" s="33">
        <f t="shared" si="49"/>
        <v>904.02</v>
      </c>
      <c r="T386" s="36">
        <f t="shared" si="50"/>
        <v>1831.64</v>
      </c>
    </row>
    <row r="387" spans="1:20">
      <c r="A387" s="37">
        <v>45615</v>
      </c>
      <c r="B387" s="38" t="s">
        <v>516</v>
      </c>
      <c r="C387" s="38" t="s">
        <v>517</v>
      </c>
      <c r="D387" s="38" t="s">
        <v>518</v>
      </c>
      <c r="E387" s="38" t="s">
        <v>1571</v>
      </c>
      <c r="F387" s="38">
        <f t="shared" si="51"/>
        <v>2024</v>
      </c>
      <c r="G387" s="38" t="str">
        <f t="shared" si="52"/>
        <v>November</v>
      </c>
      <c r="H387" s="30">
        <v>180572</v>
      </c>
      <c r="I387" s="30">
        <v>12720</v>
      </c>
      <c r="J387" s="39">
        <v>2814</v>
      </c>
      <c r="K387" s="39">
        <v>1384</v>
      </c>
      <c r="L387" s="39">
        <v>578</v>
      </c>
      <c r="M387" s="40">
        <v>137201.61</v>
      </c>
      <c r="N387" s="40">
        <v>3495163.5</v>
      </c>
      <c r="O387" s="33">
        <f t="shared" ref="O387:O450" si="55">ROUND(I387/H387*100,2)</f>
        <v>7.04</v>
      </c>
      <c r="P387" s="34">
        <f t="shared" si="53"/>
        <v>48.7567910447761</v>
      </c>
      <c r="Q387" s="35">
        <f t="shared" si="54"/>
        <v>25.4746536866441</v>
      </c>
      <c r="R387" s="35">
        <f t="shared" si="48"/>
        <v>10.7862900943396</v>
      </c>
      <c r="S387" s="33">
        <f t="shared" si="49"/>
        <v>759.82</v>
      </c>
      <c r="T387" s="36">
        <f t="shared" si="50"/>
        <v>2447.47</v>
      </c>
    </row>
    <row r="388" spans="1:20">
      <c r="A388" s="28">
        <v>45616</v>
      </c>
      <c r="B388" s="29" t="s">
        <v>516</v>
      </c>
      <c r="C388" s="29" t="s">
        <v>517</v>
      </c>
      <c r="D388" s="29" t="s">
        <v>518</v>
      </c>
      <c r="E388" s="29" t="s">
        <v>1573</v>
      </c>
      <c r="F388" s="29">
        <f t="shared" si="51"/>
        <v>2024</v>
      </c>
      <c r="G388" s="29" t="str">
        <f t="shared" si="52"/>
        <v>November</v>
      </c>
      <c r="H388" s="30">
        <v>193929</v>
      </c>
      <c r="I388" s="30">
        <v>13873</v>
      </c>
      <c r="J388" s="31">
        <v>3062</v>
      </c>
      <c r="K388" s="31">
        <v>1471</v>
      </c>
      <c r="L388" s="31">
        <v>874</v>
      </c>
      <c r="M388" s="32">
        <v>161155.16</v>
      </c>
      <c r="N388" s="32">
        <v>6776185.69</v>
      </c>
      <c r="O388" s="33">
        <f t="shared" si="55"/>
        <v>7.15</v>
      </c>
      <c r="P388" s="34">
        <f t="shared" si="53"/>
        <v>52.6306858262573</v>
      </c>
      <c r="Q388" s="35">
        <f t="shared" si="54"/>
        <v>42.0475874926996</v>
      </c>
      <c r="R388" s="35">
        <f t="shared" si="48"/>
        <v>11.6164607510993</v>
      </c>
      <c r="S388" s="33">
        <f t="shared" si="49"/>
        <v>831</v>
      </c>
      <c r="T388" s="36">
        <f t="shared" si="50"/>
        <v>4104.76</v>
      </c>
    </row>
    <row r="389" spans="1:20">
      <c r="A389" s="37">
        <v>45617</v>
      </c>
      <c r="B389" s="38" t="s">
        <v>516</v>
      </c>
      <c r="C389" s="38" t="s">
        <v>517</v>
      </c>
      <c r="D389" s="38" t="s">
        <v>518</v>
      </c>
      <c r="E389" s="38" t="s">
        <v>1573</v>
      </c>
      <c r="F389" s="38">
        <f t="shared" si="51"/>
        <v>2024</v>
      </c>
      <c r="G389" s="38" t="str">
        <f t="shared" si="52"/>
        <v>November</v>
      </c>
      <c r="H389" s="30">
        <v>82283</v>
      </c>
      <c r="I389" s="30">
        <v>2921</v>
      </c>
      <c r="J389" s="39">
        <v>481</v>
      </c>
      <c r="K389" s="39">
        <v>235</v>
      </c>
      <c r="L389" s="39">
        <v>130</v>
      </c>
      <c r="M389" s="40">
        <v>76726.47</v>
      </c>
      <c r="N389" s="40">
        <v>415137.55</v>
      </c>
      <c r="O389" s="33">
        <f t="shared" si="55"/>
        <v>3.55</v>
      </c>
      <c r="P389" s="34">
        <f t="shared" si="53"/>
        <v>159.514490644491</v>
      </c>
      <c r="Q389" s="35">
        <f t="shared" si="54"/>
        <v>5.41061709211958</v>
      </c>
      <c r="R389" s="35">
        <f t="shared" si="48"/>
        <v>26.2671927422116</v>
      </c>
      <c r="S389" s="33">
        <f t="shared" si="49"/>
        <v>932.47</v>
      </c>
      <c r="T389" s="36">
        <f t="shared" si="50"/>
        <v>441.06</v>
      </c>
    </row>
    <row r="390" spans="1:20">
      <c r="A390" s="28">
        <v>45618</v>
      </c>
      <c r="B390" s="29" t="s">
        <v>516</v>
      </c>
      <c r="C390" s="29" t="s">
        <v>517</v>
      </c>
      <c r="D390" s="29" t="s">
        <v>518</v>
      </c>
      <c r="E390" s="29" t="s">
        <v>1573</v>
      </c>
      <c r="F390" s="29">
        <f t="shared" si="51"/>
        <v>2024</v>
      </c>
      <c r="G390" s="29" t="str">
        <f t="shared" si="52"/>
        <v>November</v>
      </c>
      <c r="H390" s="30">
        <v>192091</v>
      </c>
      <c r="I390" s="30">
        <v>11604</v>
      </c>
      <c r="J390" s="31">
        <v>2347</v>
      </c>
      <c r="K390" s="31">
        <v>1104</v>
      </c>
      <c r="L390" s="31">
        <v>643</v>
      </c>
      <c r="M390" s="32">
        <v>125058.01</v>
      </c>
      <c r="N390" s="32">
        <v>4406790.35</v>
      </c>
      <c r="O390" s="33">
        <f t="shared" si="55"/>
        <v>6.04</v>
      </c>
      <c r="P390" s="34">
        <f t="shared" si="53"/>
        <v>53.2841968470388</v>
      </c>
      <c r="Q390" s="35">
        <f t="shared" si="54"/>
        <v>35.2379695630852</v>
      </c>
      <c r="R390" s="35">
        <f t="shared" si="48"/>
        <v>10.7771466735608</v>
      </c>
      <c r="S390" s="33">
        <f t="shared" si="49"/>
        <v>651.04</v>
      </c>
      <c r="T390" s="36">
        <f t="shared" si="50"/>
        <v>3423.8</v>
      </c>
    </row>
    <row r="391" spans="1:20">
      <c r="A391" s="37">
        <v>45619</v>
      </c>
      <c r="B391" s="38" t="s">
        <v>516</v>
      </c>
      <c r="C391" s="38" t="s">
        <v>517</v>
      </c>
      <c r="D391" s="38" t="s">
        <v>518</v>
      </c>
      <c r="E391" s="38" t="s">
        <v>1573</v>
      </c>
      <c r="F391" s="38">
        <f t="shared" si="51"/>
        <v>2024</v>
      </c>
      <c r="G391" s="38" t="str">
        <f t="shared" si="52"/>
        <v>November</v>
      </c>
      <c r="H391" s="30">
        <v>65161</v>
      </c>
      <c r="I391" s="30">
        <v>2390</v>
      </c>
      <c r="J391" s="39">
        <v>561</v>
      </c>
      <c r="K391" s="39">
        <v>334</v>
      </c>
      <c r="L391" s="39">
        <v>173</v>
      </c>
      <c r="M391" s="40">
        <v>46009.7</v>
      </c>
      <c r="N391" s="40">
        <v>825433.67</v>
      </c>
      <c r="O391" s="33">
        <f t="shared" si="55"/>
        <v>3.67</v>
      </c>
      <c r="P391" s="34">
        <f t="shared" si="53"/>
        <v>82.0137254901961</v>
      </c>
      <c r="Q391" s="35">
        <f t="shared" si="54"/>
        <v>17.9404271273232</v>
      </c>
      <c r="R391" s="35">
        <f t="shared" si="48"/>
        <v>19.2509205020921</v>
      </c>
      <c r="S391" s="33">
        <f t="shared" si="49"/>
        <v>706.09</v>
      </c>
      <c r="T391" s="36">
        <f t="shared" si="50"/>
        <v>1694.04</v>
      </c>
    </row>
    <row r="392" spans="1:20">
      <c r="A392" s="28">
        <v>45620</v>
      </c>
      <c r="B392" s="29" t="s">
        <v>516</v>
      </c>
      <c r="C392" s="29" t="s">
        <v>517</v>
      </c>
      <c r="D392" s="29" t="s">
        <v>518</v>
      </c>
      <c r="E392" s="29" t="s">
        <v>1572</v>
      </c>
      <c r="F392" s="29">
        <f t="shared" si="51"/>
        <v>2024</v>
      </c>
      <c r="G392" s="29" t="str">
        <f t="shared" si="52"/>
        <v>November</v>
      </c>
      <c r="H392" s="30">
        <v>273486</v>
      </c>
      <c r="I392" s="30">
        <v>9563</v>
      </c>
      <c r="J392" s="31">
        <v>1760</v>
      </c>
      <c r="K392" s="31">
        <v>876</v>
      </c>
      <c r="L392" s="31">
        <v>515</v>
      </c>
      <c r="M392" s="32">
        <v>230126.27</v>
      </c>
      <c r="N392" s="32">
        <v>3733798.06</v>
      </c>
      <c r="O392" s="33">
        <f t="shared" si="55"/>
        <v>3.5</v>
      </c>
      <c r="P392" s="34">
        <f t="shared" si="53"/>
        <v>130.7535625</v>
      </c>
      <c r="Q392" s="35">
        <f t="shared" si="54"/>
        <v>16.2249970852958</v>
      </c>
      <c r="R392" s="35">
        <f t="shared" si="48"/>
        <v>24.064234026979</v>
      </c>
      <c r="S392" s="33">
        <f t="shared" si="49"/>
        <v>841.46</v>
      </c>
      <c r="T392" s="36">
        <f t="shared" si="50"/>
        <v>1522.5</v>
      </c>
    </row>
    <row r="393" spans="1:20">
      <c r="A393" s="37">
        <v>45621</v>
      </c>
      <c r="B393" s="38" t="s">
        <v>516</v>
      </c>
      <c r="C393" s="38" t="s">
        <v>517</v>
      </c>
      <c r="D393" s="38" t="s">
        <v>518</v>
      </c>
      <c r="E393" s="38" t="s">
        <v>1572</v>
      </c>
      <c r="F393" s="38">
        <f t="shared" si="51"/>
        <v>2024</v>
      </c>
      <c r="G393" s="38" t="str">
        <f t="shared" si="52"/>
        <v>November</v>
      </c>
      <c r="H393" s="30">
        <v>69058</v>
      </c>
      <c r="I393" s="30">
        <v>3605</v>
      </c>
      <c r="J393" s="39">
        <v>672</v>
      </c>
      <c r="K393" s="39">
        <v>383</v>
      </c>
      <c r="L393" s="39">
        <v>211</v>
      </c>
      <c r="M393" s="40">
        <v>46789.73</v>
      </c>
      <c r="N393" s="40">
        <v>1676078.02</v>
      </c>
      <c r="O393" s="33">
        <f t="shared" si="55"/>
        <v>5.22</v>
      </c>
      <c r="P393" s="34">
        <f t="shared" si="53"/>
        <v>69.6275744047619</v>
      </c>
      <c r="Q393" s="35">
        <f t="shared" si="54"/>
        <v>35.8214937337745</v>
      </c>
      <c r="R393" s="35">
        <f t="shared" si="48"/>
        <v>12.979120665742</v>
      </c>
      <c r="S393" s="33">
        <f t="shared" si="49"/>
        <v>677.54</v>
      </c>
      <c r="T393" s="36">
        <f t="shared" si="50"/>
        <v>3482.15</v>
      </c>
    </row>
    <row r="394" spans="1:20">
      <c r="A394" s="28">
        <v>45622</v>
      </c>
      <c r="B394" s="29" t="s">
        <v>516</v>
      </c>
      <c r="C394" s="29" t="s">
        <v>517</v>
      </c>
      <c r="D394" s="29" t="s">
        <v>518</v>
      </c>
      <c r="E394" s="29" t="s">
        <v>1572</v>
      </c>
      <c r="F394" s="29">
        <f t="shared" si="51"/>
        <v>2024</v>
      </c>
      <c r="G394" s="29" t="str">
        <f t="shared" si="52"/>
        <v>November</v>
      </c>
      <c r="H394" s="30">
        <v>91853</v>
      </c>
      <c r="I394" s="30">
        <v>6881</v>
      </c>
      <c r="J394" s="31">
        <v>1240</v>
      </c>
      <c r="K394" s="31">
        <v>672</v>
      </c>
      <c r="L394" s="31">
        <v>277</v>
      </c>
      <c r="M394" s="32">
        <v>44008.16</v>
      </c>
      <c r="N394" s="32">
        <v>1877093.83</v>
      </c>
      <c r="O394" s="33">
        <f t="shared" si="55"/>
        <v>7.49</v>
      </c>
      <c r="P394" s="34">
        <f t="shared" si="53"/>
        <v>35.4904516129032</v>
      </c>
      <c r="Q394" s="35">
        <f t="shared" si="54"/>
        <v>42.653313158287</v>
      </c>
      <c r="R394" s="35">
        <f t="shared" si="48"/>
        <v>6.39560528992879</v>
      </c>
      <c r="S394" s="33">
        <f t="shared" si="49"/>
        <v>479.12</v>
      </c>
      <c r="T394" s="36">
        <f t="shared" si="50"/>
        <v>4165.33</v>
      </c>
    </row>
    <row r="395" spans="1:20">
      <c r="A395" s="37">
        <v>45623</v>
      </c>
      <c r="B395" s="38" t="s">
        <v>516</v>
      </c>
      <c r="C395" s="38" t="s">
        <v>517</v>
      </c>
      <c r="D395" s="38" t="s">
        <v>518</v>
      </c>
      <c r="E395" s="38" t="s">
        <v>1571</v>
      </c>
      <c r="F395" s="38">
        <f t="shared" si="51"/>
        <v>2024</v>
      </c>
      <c r="G395" s="38" t="str">
        <f t="shared" si="52"/>
        <v>November</v>
      </c>
      <c r="H395" s="30">
        <v>90600</v>
      </c>
      <c r="I395" s="30">
        <v>5028</v>
      </c>
      <c r="J395" s="39">
        <v>1186</v>
      </c>
      <c r="K395" s="39">
        <v>602</v>
      </c>
      <c r="L395" s="39">
        <v>308</v>
      </c>
      <c r="M395" s="40">
        <v>73545.38</v>
      </c>
      <c r="N395" s="40">
        <v>1650695.41</v>
      </c>
      <c r="O395" s="33">
        <f t="shared" si="55"/>
        <v>5.55</v>
      </c>
      <c r="P395" s="34">
        <f t="shared" si="53"/>
        <v>62.011281618887</v>
      </c>
      <c r="Q395" s="35">
        <f t="shared" si="54"/>
        <v>22.4445833307272</v>
      </c>
      <c r="R395" s="35">
        <f t="shared" si="48"/>
        <v>14.6271638822593</v>
      </c>
      <c r="S395" s="33">
        <f t="shared" si="49"/>
        <v>811.76</v>
      </c>
      <c r="T395" s="36">
        <f t="shared" si="50"/>
        <v>2144.46</v>
      </c>
    </row>
    <row r="396" spans="1:20">
      <c r="A396" s="28">
        <v>45624</v>
      </c>
      <c r="B396" s="29" t="s">
        <v>516</v>
      </c>
      <c r="C396" s="29" t="s">
        <v>517</v>
      </c>
      <c r="D396" s="29" t="s">
        <v>518</v>
      </c>
      <c r="E396" s="29" t="s">
        <v>1572</v>
      </c>
      <c r="F396" s="29">
        <f t="shared" si="51"/>
        <v>2024</v>
      </c>
      <c r="G396" s="29" t="str">
        <f t="shared" si="52"/>
        <v>November</v>
      </c>
      <c r="H396" s="30">
        <v>175761</v>
      </c>
      <c r="I396" s="30">
        <v>5318</v>
      </c>
      <c r="J396" s="31">
        <v>1233</v>
      </c>
      <c r="K396" s="31">
        <v>657</v>
      </c>
      <c r="L396" s="31">
        <v>374</v>
      </c>
      <c r="M396" s="32">
        <v>116485.8</v>
      </c>
      <c r="N396" s="32">
        <v>2032416.22</v>
      </c>
      <c r="O396" s="33">
        <f t="shared" si="55"/>
        <v>3.03</v>
      </c>
      <c r="P396" s="34">
        <f t="shared" si="53"/>
        <v>94.4734793187348</v>
      </c>
      <c r="Q396" s="35">
        <f t="shared" si="54"/>
        <v>17.4477594693946</v>
      </c>
      <c r="R396" s="35">
        <f t="shared" si="48"/>
        <v>21.9040616773223</v>
      </c>
      <c r="S396" s="33">
        <f t="shared" si="49"/>
        <v>662.75</v>
      </c>
      <c r="T396" s="36">
        <f t="shared" si="50"/>
        <v>1644.78</v>
      </c>
    </row>
    <row r="397" spans="1:20">
      <c r="A397" s="37">
        <v>45625</v>
      </c>
      <c r="B397" s="38" t="s">
        <v>516</v>
      </c>
      <c r="C397" s="38" t="s">
        <v>517</v>
      </c>
      <c r="D397" s="38" t="s">
        <v>518</v>
      </c>
      <c r="E397" s="38" t="s">
        <v>1572</v>
      </c>
      <c r="F397" s="38">
        <f t="shared" si="51"/>
        <v>2024</v>
      </c>
      <c r="G397" s="38" t="str">
        <f t="shared" si="52"/>
        <v>November</v>
      </c>
      <c r="H397" s="30">
        <v>255808</v>
      </c>
      <c r="I397" s="30">
        <v>20215</v>
      </c>
      <c r="J397" s="39">
        <v>4403</v>
      </c>
      <c r="K397" s="39">
        <v>2084</v>
      </c>
      <c r="L397" s="39">
        <v>1238</v>
      </c>
      <c r="M397" s="40">
        <v>219725.73</v>
      </c>
      <c r="N397" s="40">
        <v>5687975.93</v>
      </c>
      <c r="O397" s="33">
        <f t="shared" si="55"/>
        <v>7.9</v>
      </c>
      <c r="P397" s="34">
        <f t="shared" si="53"/>
        <v>49.9036406995231</v>
      </c>
      <c r="Q397" s="35">
        <f t="shared" si="54"/>
        <v>25.8867085343168</v>
      </c>
      <c r="R397" s="35">
        <f t="shared" si="48"/>
        <v>10.8694400197873</v>
      </c>
      <c r="S397" s="33">
        <f t="shared" si="49"/>
        <v>858.95</v>
      </c>
      <c r="T397" s="36">
        <f t="shared" si="50"/>
        <v>2488.67</v>
      </c>
    </row>
    <row r="398" spans="1:20">
      <c r="A398" s="28">
        <v>45626</v>
      </c>
      <c r="B398" s="29" t="s">
        <v>516</v>
      </c>
      <c r="C398" s="29" t="s">
        <v>517</v>
      </c>
      <c r="D398" s="29" t="s">
        <v>518</v>
      </c>
      <c r="E398" s="29" t="s">
        <v>1572</v>
      </c>
      <c r="F398" s="29">
        <f t="shared" si="51"/>
        <v>2024</v>
      </c>
      <c r="G398" s="29" t="str">
        <f t="shared" si="52"/>
        <v>November</v>
      </c>
      <c r="H398" s="30">
        <v>80454</v>
      </c>
      <c r="I398" s="30">
        <v>5850</v>
      </c>
      <c r="J398" s="31">
        <v>1090</v>
      </c>
      <c r="K398" s="31">
        <v>544</v>
      </c>
      <c r="L398" s="31">
        <v>298</v>
      </c>
      <c r="M398" s="32">
        <v>70151.88</v>
      </c>
      <c r="N398" s="32">
        <v>1542618.67</v>
      </c>
      <c r="O398" s="33">
        <f t="shared" si="55"/>
        <v>7.27</v>
      </c>
      <c r="P398" s="34">
        <f t="shared" si="53"/>
        <v>64.3595229357798</v>
      </c>
      <c r="Q398" s="35">
        <f t="shared" si="54"/>
        <v>21.9896982090858</v>
      </c>
      <c r="R398" s="35">
        <f t="shared" si="48"/>
        <v>11.9917743589744</v>
      </c>
      <c r="S398" s="33">
        <f t="shared" si="49"/>
        <v>871.95</v>
      </c>
      <c r="T398" s="36">
        <f t="shared" si="50"/>
        <v>2098.97</v>
      </c>
    </row>
    <row r="399" spans="1:20">
      <c r="A399" s="37">
        <v>45303</v>
      </c>
      <c r="B399" s="38" t="s">
        <v>516</v>
      </c>
      <c r="C399" s="38" t="s">
        <v>517</v>
      </c>
      <c r="D399" s="38" t="s">
        <v>518</v>
      </c>
      <c r="E399" s="38" t="s">
        <v>1571</v>
      </c>
      <c r="F399" s="38">
        <f t="shared" si="51"/>
        <v>2024</v>
      </c>
      <c r="G399" s="38" t="str">
        <f t="shared" si="52"/>
        <v>January</v>
      </c>
      <c r="H399" s="30">
        <v>197437</v>
      </c>
      <c r="I399" s="30">
        <v>15661</v>
      </c>
      <c r="J399" s="39">
        <v>3170</v>
      </c>
      <c r="K399" s="39">
        <v>2036</v>
      </c>
      <c r="L399" s="39">
        <v>967</v>
      </c>
      <c r="M399" s="40">
        <v>126999.65</v>
      </c>
      <c r="N399" s="40">
        <v>3380862.13</v>
      </c>
      <c r="O399" s="33">
        <f t="shared" si="55"/>
        <v>7.93</v>
      </c>
      <c r="P399" s="34">
        <f t="shared" si="53"/>
        <v>40.0629810725552</v>
      </c>
      <c r="Q399" s="35">
        <f t="shared" si="54"/>
        <v>26.6210350186004</v>
      </c>
      <c r="R399" s="35">
        <f t="shared" si="48"/>
        <v>8.10929378711449</v>
      </c>
      <c r="S399" s="33">
        <f t="shared" si="49"/>
        <v>643.24</v>
      </c>
      <c r="T399" s="36">
        <f t="shared" si="50"/>
        <v>2562.1</v>
      </c>
    </row>
    <row r="400" spans="1:20">
      <c r="A400" s="28">
        <v>45334</v>
      </c>
      <c r="B400" s="29" t="s">
        <v>516</v>
      </c>
      <c r="C400" s="29" t="s">
        <v>517</v>
      </c>
      <c r="D400" s="29" t="s">
        <v>518</v>
      </c>
      <c r="E400" s="29" t="s">
        <v>1573</v>
      </c>
      <c r="F400" s="29">
        <f t="shared" si="51"/>
        <v>2024</v>
      </c>
      <c r="G400" s="29" t="str">
        <f t="shared" si="52"/>
        <v>February</v>
      </c>
      <c r="H400" s="30">
        <v>89542</v>
      </c>
      <c r="I400" s="30">
        <v>6519</v>
      </c>
      <c r="J400" s="31">
        <v>1086</v>
      </c>
      <c r="K400" s="31">
        <v>697</v>
      </c>
      <c r="L400" s="31">
        <v>285</v>
      </c>
      <c r="M400" s="32">
        <v>60866.25</v>
      </c>
      <c r="N400" s="32">
        <v>1813988.18</v>
      </c>
      <c r="O400" s="33">
        <f t="shared" si="55"/>
        <v>7.28</v>
      </c>
      <c r="P400" s="34">
        <f t="shared" si="53"/>
        <v>56.046270718232</v>
      </c>
      <c r="Q400" s="35">
        <f t="shared" si="54"/>
        <v>29.8028575770645</v>
      </c>
      <c r="R400" s="35">
        <f t="shared" si="48"/>
        <v>9.33674643350207</v>
      </c>
      <c r="S400" s="33">
        <f t="shared" si="49"/>
        <v>679.75</v>
      </c>
      <c r="T400" s="36">
        <f t="shared" si="50"/>
        <v>2880.29</v>
      </c>
    </row>
    <row r="401" spans="1:20">
      <c r="A401" s="37">
        <v>45363</v>
      </c>
      <c r="B401" s="38" t="s">
        <v>516</v>
      </c>
      <c r="C401" s="38" t="s">
        <v>517</v>
      </c>
      <c r="D401" s="38" t="s">
        <v>518</v>
      </c>
      <c r="E401" s="38" t="s">
        <v>1571</v>
      </c>
      <c r="F401" s="38">
        <f t="shared" si="51"/>
        <v>2024</v>
      </c>
      <c r="G401" s="38" t="str">
        <f t="shared" si="52"/>
        <v>March</v>
      </c>
      <c r="H401" s="30">
        <v>264827</v>
      </c>
      <c r="I401" s="30">
        <v>17541</v>
      </c>
      <c r="J401" s="39">
        <v>3210</v>
      </c>
      <c r="K401" s="39">
        <v>1832</v>
      </c>
      <c r="L401" s="39">
        <v>918</v>
      </c>
      <c r="M401" s="40">
        <v>239779.4</v>
      </c>
      <c r="N401" s="40">
        <v>4492737.47</v>
      </c>
      <c r="O401" s="33">
        <f t="shared" si="55"/>
        <v>6.62</v>
      </c>
      <c r="P401" s="34">
        <f t="shared" si="53"/>
        <v>74.6976323987539</v>
      </c>
      <c r="Q401" s="35">
        <f t="shared" si="54"/>
        <v>18.7369618490996</v>
      </c>
      <c r="R401" s="35">
        <f t="shared" si="48"/>
        <v>13.6696539535944</v>
      </c>
      <c r="S401" s="33">
        <f t="shared" si="49"/>
        <v>905.42</v>
      </c>
      <c r="T401" s="36">
        <f t="shared" si="50"/>
        <v>1773.7</v>
      </c>
    </row>
    <row r="402" spans="1:20">
      <c r="A402" s="28">
        <v>45394</v>
      </c>
      <c r="B402" s="29" t="s">
        <v>516</v>
      </c>
      <c r="C402" s="29" t="s">
        <v>517</v>
      </c>
      <c r="D402" s="29" t="s">
        <v>518</v>
      </c>
      <c r="E402" s="29" t="s">
        <v>1573</v>
      </c>
      <c r="F402" s="29">
        <f t="shared" si="51"/>
        <v>2024</v>
      </c>
      <c r="G402" s="29" t="str">
        <f t="shared" si="52"/>
        <v>April</v>
      </c>
      <c r="H402" s="30">
        <v>246484</v>
      </c>
      <c r="I402" s="30">
        <v>15426</v>
      </c>
      <c r="J402" s="31">
        <v>3748</v>
      </c>
      <c r="K402" s="31">
        <v>2056</v>
      </c>
      <c r="L402" s="31">
        <v>1100</v>
      </c>
      <c r="M402" s="32">
        <v>197907.72</v>
      </c>
      <c r="N402" s="32">
        <v>3733897.51</v>
      </c>
      <c r="O402" s="33">
        <f t="shared" si="55"/>
        <v>6.26</v>
      </c>
      <c r="P402" s="34">
        <f t="shared" si="53"/>
        <v>52.8035538954109</v>
      </c>
      <c r="Q402" s="35">
        <f t="shared" si="54"/>
        <v>18.8668613331506</v>
      </c>
      <c r="R402" s="35">
        <f t="shared" si="48"/>
        <v>12.829490470634</v>
      </c>
      <c r="S402" s="33">
        <f t="shared" si="49"/>
        <v>802.92</v>
      </c>
      <c r="T402" s="36">
        <f t="shared" si="50"/>
        <v>1786.69</v>
      </c>
    </row>
    <row r="403" spans="1:20">
      <c r="A403" s="37">
        <v>45424</v>
      </c>
      <c r="B403" s="38" t="s">
        <v>516</v>
      </c>
      <c r="C403" s="38" t="s">
        <v>517</v>
      </c>
      <c r="D403" s="38" t="s">
        <v>518</v>
      </c>
      <c r="E403" s="38" t="s">
        <v>1572</v>
      </c>
      <c r="F403" s="38">
        <f t="shared" si="51"/>
        <v>2024</v>
      </c>
      <c r="G403" s="38" t="str">
        <f t="shared" si="52"/>
        <v>May</v>
      </c>
      <c r="H403" s="30">
        <v>166847</v>
      </c>
      <c r="I403" s="30">
        <v>6747</v>
      </c>
      <c r="J403" s="39">
        <v>1403</v>
      </c>
      <c r="K403" s="39">
        <v>818</v>
      </c>
      <c r="L403" s="39">
        <v>471</v>
      </c>
      <c r="M403" s="40">
        <v>125046.51</v>
      </c>
      <c r="N403" s="40">
        <v>1803264.94</v>
      </c>
      <c r="O403" s="33">
        <f t="shared" si="55"/>
        <v>4.04</v>
      </c>
      <c r="P403" s="34">
        <f t="shared" si="53"/>
        <v>89.1279472558803</v>
      </c>
      <c r="Q403" s="35">
        <f t="shared" si="54"/>
        <v>14.420753845909</v>
      </c>
      <c r="R403" s="35">
        <f t="shared" si="48"/>
        <v>18.5336460649177</v>
      </c>
      <c r="S403" s="33">
        <f t="shared" si="49"/>
        <v>749.47</v>
      </c>
      <c r="T403" s="36">
        <f t="shared" si="50"/>
        <v>1342.08</v>
      </c>
    </row>
    <row r="404" spans="1:20">
      <c r="A404" s="28">
        <v>45455</v>
      </c>
      <c r="B404" s="29" t="s">
        <v>516</v>
      </c>
      <c r="C404" s="29" t="s">
        <v>517</v>
      </c>
      <c r="D404" s="29" t="s">
        <v>518</v>
      </c>
      <c r="E404" s="29" t="s">
        <v>1571</v>
      </c>
      <c r="F404" s="29">
        <f t="shared" si="51"/>
        <v>2024</v>
      </c>
      <c r="G404" s="29" t="str">
        <f t="shared" si="52"/>
        <v>June</v>
      </c>
      <c r="H404" s="30">
        <v>159764</v>
      </c>
      <c r="I404" s="30">
        <v>8942</v>
      </c>
      <c r="J404" s="31">
        <v>1411</v>
      </c>
      <c r="K404" s="31">
        <v>644</v>
      </c>
      <c r="L404" s="31">
        <v>294</v>
      </c>
      <c r="M404" s="32">
        <v>90588.72</v>
      </c>
      <c r="N404" s="32">
        <v>1354157.21</v>
      </c>
      <c r="O404" s="33">
        <f t="shared" si="55"/>
        <v>5.6</v>
      </c>
      <c r="P404" s="34">
        <f t="shared" si="53"/>
        <v>64.201785967399</v>
      </c>
      <c r="Q404" s="35">
        <f t="shared" si="54"/>
        <v>14.9484086981249</v>
      </c>
      <c r="R404" s="35">
        <f t="shared" si="48"/>
        <v>10.1307000670991</v>
      </c>
      <c r="S404" s="33">
        <f t="shared" si="49"/>
        <v>567.02</v>
      </c>
      <c r="T404" s="36">
        <f t="shared" si="50"/>
        <v>1394.84</v>
      </c>
    </row>
    <row r="405" spans="1:20">
      <c r="A405" s="37">
        <v>45485</v>
      </c>
      <c r="B405" s="38" t="s">
        <v>516</v>
      </c>
      <c r="C405" s="38" t="s">
        <v>517</v>
      </c>
      <c r="D405" s="38" t="s">
        <v>518</v>
      </c>
      <c r="E405" s="38" t="s">
        <v>1572</v>
      </c>
      <c r="F405" s="38">
        <f t="shared" si="51"/>
        <v>2024</v>
      </c>
      <c r="G405" s="38" t="str">
        <f t="shared" si="52"/>
        <v>July</v>
      </c>
      <c r="H405" s="30">
        <v>102163</v>
      </c>
      <c r="I405" s="30">
        <v>5048</v>
      </c>
      <c r="J405" s="39">
        <v>1064</v>
      </c>
      <c r="K405" s="39">
        <v>661</v>
      </c>
      <c r="L405" s="39">
        <v>327</v>
      </c>
      <c r="M405" s="40">
        <v>60848.34</v>
      </c>
      <c r="N405" s="40">
        <v>2575367.84</v>
      </c>
      <c r="O405" s="33">
        <f t="shared" si="55"/>
        <v>4.94</v>
      </c>
      <c r="P405" s="34">
        <f t="shared" si="53"/>
        <v>57.1882894736842</v>
      </c>
      <c r="Q405" s="35">
        <f t="shared" si="54"/>
        <v>42.3243730231589</v>
      </c>
      <c r="R405" s="35">
        <f t="shared" si="48"/>
        <v>12.0539500792393</v>
      </c>
      <c r="S405" s="33">
        <f t="shared" si="49"/>
        <v>595.6</v>
      </c>
      <c r="T405" s="36">
        <f t="shared" si="50"/>
        <v>4132.44</v>
      </c>
    </row>
    <row r="406" spans="1:20">
      <c r="A406" s="28">
        <v>45516</v>
      </c>
      <c r="B406" s="29" t="s">
        <v>516</v>
      </c>
      <c r="C406" s="29" t="s">
        <v>517</v>
      </c>
      <c r="D406" s="29" t="s">
        <v>518</v>
      </c>
      <c r="E406" s="29" t="s">
        <v>1573</v>
      </c>
      <c r="F406" s="29">
        <f t="shared" si="51"/>
        <v>2024</v>
      </c>
      <c r="G406" s="29" t="str">
        <f t="shared" si="52"/>
        <v>August</v>
      </c>
      <c r="H406" s="30">
        <v>126853</v>
      </c>
      <c r="I406" s="30">
        <v>7221</v>
      </c>
      <c r="J406" s="31">
        <v>1286</v>
      </c>
      <c r="K406" s="31">
        <v>797</v>
      </c>
      <c r="L406" s="31">
        <v>398</v>
      </c>
      <c r="M406" s="32">
        <v>50966.79</v>
      </c>
      <c r="N406" s="32">
        <v>2508469.86</v>
      </c>
      <c r="O406" s="33">
        <f t="shared" si="55"/>
        <v>5.69</v>
      </c>
      <c r="P406" s="34">
        <f t="shared" si="53"/>
        <v>39.6320295489891</v>
      </c>
      <c r="Q406" s="35">
        <f t="shared" si="54"/>
        <v>49.2177329590504</v>
      </c>
      <c r="R406" s="35">
        <f t="shared" si="48"/>
        <v>7.0581346073951</v>
      </c>
      <c r="S406" s="33">
        <f t="shared" si="49"/>
        <v>401.78</v>
      </c>
      <c r="T406" s="36">
        <f t="shared" si="50"/>
        <v>4821.77</v>
      </c>
    </row>
    <row r="407" spans="1:20">
      <c r="A407" s="37">
        <v>45547</v>
      </c>
      <c r="B407" s="38" t="s">
        <v>516</v>
      </c>
      <c r="C407" s="38" t="s">
        <v>517</v>
      </c>
      <c r="D407" s="38" t="s">
        <v>518</v>
      </c>
      <c r="E407" s="38" t="s">
        <v>1573</v>
      </c>
      <c r="F407" s="38">
        <f t="shared" si="51"/>
        <v>2024</v>
      </c>
      <c r="G407" s="38" t="str">
        <f t="shared" si="52"/>
        <v>September</v>
      </c>
      <c r="H407" s="30">
        <v>220003</v>
      </c>
      <c r="I407" s="30">
        <v>12964</v>
      </c>
      <c r="J407" s="39">
        <v>2716</v>
      </c>
      <c r="K407" s="39">
        <v>1272</v>
      </c>
      <c r="L407" s="39">
        <v>714</v>
      </c>
      <c r="M407" s="40">
        <v>149924.94</v>
      </c>
      <c r="N407" s="40">
        <v>5270433.16</v>
      </c>
      <c r="O407" s="33">
        <f t="shared" si="55"/>
        <v>5.89</v>
      </c>
      <c r="P407" s="34">
        <f t="shared" si="53"/>
        <v>55.2006406480118</v>
      </c>
      <c r="Q407" s="35">
        <f t="shared" si="54"/>
        <v>35.1538120342086</v>
      </c>
      <c r="R407" s="35">
        <f t="shared" si="48"/>
        <v>11.5647130515273</v>
      </c>
      <c r="S407" s="33">
        <f t="shared" si="49"/>
        <v>681.47</v>
      </c>
      <c r="T407" s="36">
        <f t="shared" si="50"/>
        <v>3415.38</v>
      </c>
    </row>
    <row r="408" spans="1:20">
      <c r="A408" s="28">
        <v>45577</v>
      </c>
      <c r="B408" s="29" t="s">
        <v>516</v>
      </c>
      <c r="C408" s="29" t="s">
        <v>517</v>
      </c>
      <c r="D408" s="29" t="s">
        <v>518</v>
      </c>
      <c r="E408" s="29" t="s">
        <v>1572</v>
      </c>
      <c r="F408" s="29">
        <f t="shared" si="51"/>
        <v>2024</v>
      </c>
      <c r="G408" s="29" t="str">
        <f t="shared" si="52"/>
        <v>October</v>
      </c>
      <c r="H408" s="30">
        <v>201824</v>
      </c>
      <c r="I408" s="30">
        <v>7307</v>
      </c>
      <c r="J408" s="31">
        <v>1450</v>
      </c>
      <c r="K408" s="31">
        <v>689</v>
      </c>
      <c r="L408" s="31">
        <v>362</v>
      </c>
      <c r="M408" s="32">
        <v>150905.55</v>
      </c>
      <c r="N408" s="32">
        <v>1905071.16</v>
      </c>
      <c r="O408" s="33">
        <f t="shared" si="55"/>
        <v>3.62</v>
      </c>
      <c r="P408" s="34">
        <f t="shared" si="53"/>
        <v>104.072793103448</v>
      </c>
      <c r="Q408" s="35">
        <f t="shared" si="54"/>
        <v>12.6242617319244</v>
      </c>
      <c r="R408" s="35">
        <f t="shared" si="48"/>
        <v>20.6521896811277</v>
      </c>
      <c r="S408" s="33">
        <f t="shared" si="49"/>
        <v>747.71</v>
      </c>
      <c r="T408" s="36">
        <f t="shared" si="50"/>
        <v>1162.43</v>
      </c>
    </row>
    <row r="409" spans="1:20">
      <c r="A409" s="37">
        <v>45608</v>
      </c>
      <c r="B409" s="38" t="s">
        <v>516</v>
      </c>
      <c r="C409" s="38" t="s">
        <v>517</v>
      </c>
      <c r="D409" s="38" t="s">
        <v>518</v>
      </c>
      <c r="E409" s="38" t="s">
        <v>1571</v>
      </c>
      <c r="F409" s="38">
        <f t="shared" si="51"/>
        <v>2024</v>
      </c>
      <c r="G409" s="38" t="str">
        <f t="shared" si="52"/>
        <v>November</v>
      </c>
      <c r="H409" s="30">
        <v>250260</v>
      </c>
      <c r="I409" s="30">
        <v>19853</v>
      </c>
      <c r="J409" s="39">
        <v>3492</v>
      </c>
      <c r="K409" s="39">
        <v>1798</v>
      </c>
      <c r="L409" s="39">
        <v>784</v>
      </c>
      <c r="M409" s="40">
        <v>135506.91</v>
      </c>
      <c r="N409" s="40">
        <v>2906425.19</v>
      </c>
      <c r="O409" s="33">
        <f t="shared" si="55"/>
        <v>7.93</v>
      </c>
      <c r="P409" s="34">
        <f t="shared" si="53"/>
        <v>38.8049570446735</v>
      </c>
      <c r="Q409" s="35">
        <f t="shared" si="54"/>
        <v>21.4485386022012</v>
      </c>
      <c r="R409" s="35">
        <f t="shared" si="48"/>
        <v>6.82551302070216</v>
      </c>
      <c r="S409" s="33">
        <f t="shared" si="49"/>
        <v>541.46</v>
      </c>
      <c r="T409" s="36">
        <f t="shared" si="50"/>
        <v>2044.85</v>
      </c>
    </row>
    <row r="410" spans="1:20">
      <c r="A410" s="28">
        <v>45638</v>
      </c>
      <c r="B410" s="29" t="s">
        <v>516</v>
      </c>
      <c r="C410" s="29" t="s">
        <v>517</v>
      </c>
      <c r="D410" s="29" t="s">
        <v>518</v>
      </c>
      <c r="E410" s="29" t="s">
        <v>1573</v>
      </c>
      <c r="F410" s="29">
        <f t="shared" si="51"/>
        <v>2024</v>
      </c>
      <c r="G410" s="29" t="str">
        <f t="shared" si="52"/>
        <v>December</v>
      </c>
      <c r="H410" s="30">
        <v>135664</v>
      </c>
      <c r="I410" s="30">
        <v>4928</v>
      </c>
      <c r="J410" s="31">
        <v>1186</v>
      </c>
      <c r="K410" s="31">
        <v>699</v>
      </c>
      <c r="L410" s="31">
        <v>396</v>
      </c>
      <c r="M410" s="32">
        <v>57125.92</v>
      </c>
      <c r="N410" s="32">
        <v>2556577.29</v>
      </c>
      <c r="O410" s="33">
        <f t="shared" si="55"/>
        <v>3.63</v>
      </c>
      <c r="P410" s="34">
        <f t="shared" si="53"/>
        <v>48.1668802698145</v>
      </c>
      <c r="Q410" s="35">
        <f t="shared" si="54"/>
        <v>44.753367473119</v>
      </c>
      <c r="R410" s="35">
        <f t="shared" si="48"/>
        <v>11.5921103896104</v>
      </c>
      <c r="S410" s="33">
        <f t="shared" si="49"/>
        <v>421.08</v>
      </c>
      <c r="T410" s="36">
        <f t="shared" si="50"/>
        <v>4375.34</v>
      </c>
    </row>
    <row r="411" spans="1:20">
      <c r="A411" s="37">
        <v>45639</v>
      </c>
      <c r="B411" s="38" t="s">
        <v>516</v>
      </c>
      <c r="C411" s="38" t="s">
        <v>517</v>
      </c>
      <c r="D411" s="38" t="s">
        <v>518</v>
      </c>
      <c r="E411" s="38" t="s">
        <v>1573</v>
      </c>
      <c r="F411" s="38">
        <f t="shared" si="51"/>
        <v>2024</v>
      </c>
      <c r="G411" s="38" t="str">
        <f t="shared" si="52"/>
        <v>December</v>
      </c>
      <c r="H411" s="30">
        <v>160397</v>
      </c>
      <c r="I411" s="30">
        <v>9855</v>
      </c>
      <c r="J411" s="39">
        <v>1850</v>
      </c>
      <c r="K411" s="39">
        <v>945</v>
      </c>
      <c r="L411" s="39">
        <v>509</v>
      </c>
      <c r="M411" s="40">
        <v>66687.61</v>
      </c>
      <c r="N411" s="40">
        <v>2358767.81</v>
      </c>
      <c r="O411" s="33">
        <f t="shared" si="55"/>
        <v>6.14</v>
      </c>
      <c r="P411" s="34">
        <f t="shared" si="53"/>
        <v>36.0473567567568</v>
      </c>
      <c r="Q411" s="35">
        <f t="shared" si="54"/>
        <v>35.3704055371005</v>
      </c>
      <c r="R411" s="35">
        <f t="shared" si="48"/>
        <v>6.76688077118214</v>
      </c>
      <c r="S411" s="33">
        <f t="shared" si="49"/>
        <v>415.77</v>
      </c>
      <c r="T411" s="36">
        <f t="shared" si="50"/>
        <v>3437.04</v>
      </c>
    </row>
    <row r="412" spans="1:20">
      <c r="A412" s="28">
        <v>45640</v>
      </c>
      <c r="B412" s="29" t="s">
        <v>516</v>
      </c>
      <c r="C412" s="29" t="s">
        <v>517</v>
      </c>
      <c r="D412" s="29" t="s">
        <v>518</v>
      </c>
      <c r="E412" s="29" t="s">
        <v>1572</v>
      </c>
      <c r="F412" s="29">
        <f t="shared" si="51"/>
        <v>2024</v>
      </c>
      <c r="G412" s="29" t="str">
        <f t="shared" si="52"/>
        <v>December</v>
      </c>
      <c r="H412" s="30">
        <v>79723</v>
      </c>
      <c r="I412" s="30">
        <v>3466</v>
      </c>
      <c r="J412" s="31">
        <v>546</v>
      </c>
      <c r="K412" s="31">
        <v>277</v>
      </c>
      <c r="L412" s="31">
        <v>162</v>
      </c>
      <c r="M412" s="32">
        <v>45007.68</v>
      </c>
      <c r="N412" s="32">
        <v>714695.19</v>
      </c>
      <c r="O412" s="33">
        <f t="shared" si="55"/>
        <v>4.35</v>
      </c>
      <c r="P412" s="34">
        <f t="shared" si="53"/>
        <v>82.4316483516483</v>
      </c>
      <c r="Q412" s="35">
        <f t="shared" si="54"/>
        <v>15.879405248171</v>
      </c>
      <c r="R412" s="35">
        <f t="shared" si="48"/>
        <v>12.9854818234276</v>
      </c>
      <c r="S412" s="33">
        <f t="shared" si="49"/>
        <v>564.55</v>
      </c>
      <c r="T412" s="36">
        <f t="shared" si="50"/>
        <v>1487.94</v>
      </c>
    </row>
    <row r="413" spans="1:20">
      <c r="A413" s="37">
        <v>45641</v>
      </c>
      <c r="B413" s="38" t="s">
        <v>516</v>
      </c>
      <c r="C413" s="38" t="s">
        <v>517</v>
      </c>
      <c r="D413" s="38" t="s">
        <v>518</v>
      </c>
      <c r="E413" s="38" t="s">
        <v>1573</v>
      </c>
      <c r="F413" s="38">
        <f t="shared" si="51"/>
        <v>2024</v>
      </c>
      <c r="G413" s="38" t="str">
        <f t="shared" si="52"/>
        <v>December</v>
      </c>
      <c r="H413" s="30">
        <v>152326</v>
      </c>
      <c r="I413" s="30">
        <v>8620</v>
      </c>
      <c r="J413" s="39">
        <v>2136</v>
      </c>
      <c r="K413" s="39">
        <v>1366</v>
      </c>
      <c r="L413" s="39">
        <v>558</v>
      </c>
      <c r="M413" s="40">
        <v>144403.81</v>
      </c>
      <c r="N413" s="40">
        <v>4066244.11</v>
      </c>
      <c r="O413" s="33">
        <f t="shared" si="55"/>
        <v>5.66</v>
      </c>
      <c r="P413" s="34">
        <f t="shared" si="53"/>
        <v>67.6047799625468</v>
      </c>
      <c r="Q413" s="35">
        <f t="shared" si="54"/>
        <v>28.158842277084</v>
      </c>
      <c r="R413" s="35">
        <f t="shared" si="48"/>
        <v>16.7521821345708</v>
      </c>
      <c r="S413" s="33">
        <f t="shared" si="49"/>
        <v>947.99</v>
      </c>
      <c r="T413" s="36">
        <f t="shared" si="50"/>
        <v>2715.88</v>
      </c>
    </row>
    <row r="414" spans="1:20">
      <c r="A414" s="28">
        <v>45642</v>
      </c>
      <c r="B414" s="29" t="s">
        <v>516</v>
      </c>
      <c r="C414" s="29" t="s">
        <v>517</v>
      </c>
      <c r="D414" s="29" t="s">
        <v>518</v>
      </c>
      <c r="E414" s="29" t="s">
        <v>1573</v>
      </c>
      <c r="F414" s="29">
        <f t="shared" si="51"/>
        <v>2024</v>
      </c>
      <c r="G414" s="29" t="str">
        <f t="shared" si="52"/>
        <v>December</v>
      </c>
      <c r="H414" s="30">
        <v>215008</v>
      </c>
      <c r="I414" s="30">
        <v>12718</v>
      </c>
      <c r="J414" s="31">
        <v>3010</v>
      </c>
      <c r="K414" s="31">
        <v>1775</v>
      </c>
      <c r="L414" s="31">
        <v>928</v>
      </c>
      <c r="M414" s="32">
        <v>185494.55</v>
      </c>
      <c r="N414" s="32">
        <v>5966828.56</v>
      </c>
      <c r="O414" s="33">
        <f t="shared" si="55"/>
        <v>5.92</v>
      </c>
      <c r="P414" s="34">
        <f t="shared" si="53"/>
        <v>61.6260963455149</v>
      </c>
      <c r="Q414" s="35">
        <f t="shared" si="54"/>
        <v>32.1671367703256</v>
      </c>
      <c r="R414" s="35">
        <f t="shared" si="48"/>
        <v>14.5851981443623</v>
      </c>
      <c r="S414" s="33">
        <f t="shared" si="49"/>
        <v>862.73</v>
      </c>
      <c r="T414" s="36">
        <f t="shared" si="50"/>
        <v>3116.71</v>
      </c>
    </row>
    <row r="415" spans="1:20">
      <c r="A415" s="37">
        <v>45643</v>
      </c>
      <c r="B415" s="38" t="s">
        <v>516</v>
      </c>
      <c r="C415" s="38" t="s">
        <v>517</v>
      </c>
      <c r="D415" s="38" t="s">
        <v>518</v>
      </c>
      <c r="E415" s="38" t="s">
        <v>1573</v>
      </c>
      <c r="F415" s="38">
        <f t="shared" si="51"/>
        <v>2024</v>
      </c>
      <c r="G415" s="38" t="str">
        <f t="shared" si="52"/>
        <v>December</v>
      </c>
      <c r="H415" s="30">
        <v>226154</v>
      </c>
      <c r="I415" s="30">
        <v>6787</v>
      </c>
      <c r="J415" s="39">
        <v>1355</v>
      </c>
      <c r="K415" s="39">
        <v>775</v>
      </c>
      <c r="L415" s="39">
        <v>413</v>
      </c>
      <c r="M415" s="40">
        <v>127284.48</v>
      </c>
      <c r="N415" s="40">
        <v>3048285.96</v>
      </c>
      <c r="O415" s="33">
        <f t="shared" si="55"/>
        <v>3</v>
      </c>
      <c r="P415" s="34">
        <f t="shared" si="53"/>
        <v>93.9368856088561</v>
      </c>
      <c r="Q415" s="35">
        <f t="shared" si="54"/>
        <v>23.9486067743687</v>
      </c>
      <c r="R415" s="35">
        <f t="shared" si="48"/>
        <v>18.7541594224252</v>
      </c>
      <c r="S415" s="33">
        <f t="shared" si="49"/>
        <v>562.82</v>
      </c>
      <c r="T415" s="36">
        <f t="shared" si="50"/>
        <v>2294.86</v>
      </c>
    </row>
    <row r="416" spans="1:20">
      <c r="A416" s="28">
        <v>45644</v>
      </c>
      <c r="B416" s="29" t="s">
        <v>516</v>
      </c>
      <c r="C416" s="29" t="s">
        <v>517</v>
      </c>
      <c r="D416" s="29" t="s">
        <v>518</v>
      </c>
      <c r="E416" s="29" t="s">
        <v>1571</v>
      </c>
      <c r="F416" s="29">
        <f t="shared" si="51"/>
        <v>2024</v>
      </c>
      <c r="G416" s="29" t="str">
        <f t="shared" si="52"/>
        <v>December</v>
      </c>
      <c r="H416" s="30">
        <v>65380</v>
      </c>
      <c r="I416" s="30">
        <v>3622</v>
      </c>
      <c r="J416" s="31">
        <v>886</v>
      </c>
      <c r="K416" s="31">
        <v>466</v>
      </c>
      <c r="L416" s="31">
        <v>197</v>
      </c>
      <c r="M416" s="32">
        <v>38280.77</v>
      </c>
      <c r="N416" s="32">
        <v>618935.67</v>
      </c>
      <c r="O416" s="33">
        <f t="shared" si="55"/>
        <v>5.54</v>
      </c>
      <c r="P416" s="34">
        <f t="shared" si="53"/>
        <v>43.2062866817156</v>
      </c>
      <c r="Q416" s="35">
        <f t="shared" si="54"/>
        <v>16.1683181921367</v>
      </c>
      <c r="R416" s="35">
        <f t="shared" si="48"/>
        <v>10.5689591385975</v>
      </c>
      <c r="S416" s="33">
        <f t="shared" si="49"/>
        <v>585.51</v>
      </c>
      <c r="T416" s="36">
        <f t="shared" si="50"/>
        <v>1516.83</v>
      </c>
    </row>
    <row r="417" spans="1:20">
      <c r="A417" s="37">
        <v>45645</v>
      </c>
      <c r="B417" s="38" t="s">
        <v>516</v>
      </c>
      <c r="C417" s="38" t="s">
        <v>517</v>
      </c>
      <c r="D417" s="38" t="s">
        <v>518</v>
      </c>
      <c r="E417" s="38" t="s">
        <v>1572</v>
      </c>
      <c r="F417" s="38">
        <f t="shared" si="51"/>
        <v>2024</v>
      </c>
      <c r="G417" s="38" t="str">
        <f t="shared" si="52"/>
        <v>December</v>
      </c>
      <c r="H417" s="30">
        <v>64816</v>
      </c>
      <c r="I417" s="30">
        <v>4503</v>
      </c>
      <c r="J417" s="39">
        <v>783</v>
      </c>
      <c r="K417" s="39">
        <v>385</v>
      </c>
      <c r="L417" s="39">
        <v>198</v>
      </c>
      <c r="M417" s="40">
        <v>36917.17</v>
      </c>
      <c r="N417" s="40">
        <v>1292747.35</v>
      </c>
      <c r="O417" s="33">
        <f t="shared" si="55"/>
        <v>6.95</v>
      </c>
      <c r="P417" s="34">
        <f t="shared" si="53"/>
        <v>47.1483652618135</v>
      </c>
      <c r="Q417" s="35">
        <f t="shared" si="54"/>
        <v>35.0175094678167</v>
      </c>
      <c r="R417" s="35">
        <f t="shared" si="48"/>
        <v>8.19834998889629</v>
      </c>
      <c r="S417" s="33">
        <f t="shared" si="49"/>
        <v>569.57</v>
      </c>
      <c r="T417" s="36">
        <f t="shared" si="50"/>
        <v>3401.75</v>
      </c>
    </row>
    <row r="418" spans="1:20">
      <c r="A418" s="28">
        <v>45646</v>
      </c>
      <c r="B418" s="29" t="s">
        <v>516</v>
      </c>
      <c r="C418" s="29" t="s">
        <v>517</v>
      </c>
      <c r="D418" s="29" t="s">
        <v>518</v>
      </c>
      <c r="E418" s="29" t="s">
        <v>1573</v>
      </c>
      <c r="F418" s="29">
        <f t="shared" si="51"/>
        <v>2024</v>
      </c>
      <c r="G418" s="29" t="str">
        <f t="shared" si="52"/>
        <v>December</v>
      </c>
      <c r="H418" s="30">
        <v>129732</v>
      </c>
      <c r="I418" s="30">
        <v>6744</v>
      </c>
      <c r="J418" s="31">
        <v>1532</v>
      </c>
      <c r="K418" s="31">
        <v>866</v>
      </c>
      <c r="L418" s="31">
        <v>459</v>
      </c>
      <c r="M418" s="32">
        <v>59861.08</v>
      </c>
      <c r="N418" s="32">
        <v>3616448.38</v>
      </c>
      <c r="O418" s="33">
        <f t="shared" si="55"/>
        <v>5.2</v>
      </c>
      <c r="P418" s="34">
        <f t="shared" si="53"/>
        <v>39.0738120104439</v>
      </c>
      <c r="Q418" s="35">
        <f t="shared" si="54"/>
        <v>60.4140182569376</v>
      </c>
      <c r="R418" s="35">
        <f t="shared" si="48"/>
        <v>8.87619810201661</v>
      </c>
      <c r="S418" s="33">
        <f t="shared" si="49"/>
        <v>461.42</v>
      </c>
      <c r="T418" s="36">
        <f t="shared" si="50"/>
        <v>5941.4</v>
      </c>
    </row>
    <row r="419" spans="1:20">
      <c r="A419" s="37">
        <v>45647</v>
      </c>
      <c r="B419" s="38" t="s">
        <v>516</v>
      </c>
      <c r="C419" s="38" t="s">
        <v>517</v>
      </c>
      <c r="D419" s="38" t="s">
        <v>518</v>
      </c>
      <c r="E419" s="38" t="s">
        <v>1573</v>
      </c>
      <c r="F419" s="38">
        <f t="shared" si="51"/>
        <v>2024</v>
      </c>
      <c r="G419" s="38" t="str">
        <f t="shared" si="52"/>
        <v>December</v>
      </c>
      <c r="H419" s="30">
        <v>191010</v>
      </c>
      <c r="I419" s="30">
        <v>6685</v>
      </c>
      <c r="J419" s="39">
        <v>1113</v>
      </c>
      <c r="K419" s="39">
        <v>682</v>
      </c>
      <c r="L419" s="39">
        <v>386</v>
      </c>
      <c r="M419" s="40">
        <v>84242.54</v>
      </c>
      <c r="N419" s="40">
        <v>2143080.95</v>
      </c>
      <c r="O419" s="33">
        <f t="shared" si="55"/>
        <v>3.5</v>
      </c>
      <c r="P419" s="34">
        <f t="shared" si="53"/>
        <v>75.6896136567835</v>
      </c>
      <c r="Q419" s="35">
        <f t="shared" si="54"/>
        <v>25.4394151695806</v>
      </c>
      <c r="R419" s="35">
        <f t="shared" si="48"/>
        <v>12.6017262528048</v>
      </c>
      <c r="S419" s="33">
        <f t="shared" si="49"/>
        <v>441.04</v>
      </c>
      <c r="T419" s="36">
        <f t="shared" si="50"/>
        <v>2443.94</v>
      </c>
    </row>
    <row r="420" spans="1:20">
      <c r="A420" s="28">
        <v>45648</v>
      </c>
      <c r="B420" s="29" t="s">
        <v>516</v>
      </c>
      <c r="C420" s="29" t="s">
        <v>517</v>
      </c>
      <c r="D420" s="29" t="s">
        <v>518</v>
      </c>
      <c r="E420" s="29" t="s">
        <v>1572</v>
      </c>
      <c r="F420" s="29">
        <f t="shared" si="51"/>
        <v>2024</v>
      </c>
      <c r="G420" s="29" t="str">
        <f t="shared" si="52"/>
        <v>December</v>
      </c>
      <c r="H420" s="30">
        <v>68302</v>
      </c>
      <c r="I420" s="30">
        <v>2222</v>
      </c>
      <c r="J420" s="31">
        <v>383</v>
      </c>
      <c r="K420" s="31">
        <v>243</v>
      </c>
      <c r="L420" s="31">
        <v>139</v>
      </c>
      <c r="M420" s="32">
        <v>55070.2</v>
      </c>
      <c r="N420" s="32">
        <v>866752.39</v>
      </c>
      <c r="O420" s="33">
        <f t="shared" si="55"/>
        <v>3.25</v>
      </c>
      <c r="P420" s="34">
        <f t="shared" si="53"/>
        <v>143.786422976501</v>
      </c>
      <c r="Q420" s="35">
        <f t="shared" si="54"/>
        <v>15.7390456181383</v>
      </c>
      <c r="R420" s="35">
        <f t="shared" si="48"/>
        <v>24.7840684068407</v>
      </c>
      <c r="S420" s="33">
        <f t="shared" si="49"/>
        <v>806.28</v>
      </c>
      <c r="T420" s="36">
        <f t="shared" si="50"/>
        <v>1473.9</v>
      </c>
    </row>
    <row r="421" spans="1:20">
      <c r="A421" s="37">
        <v>45649</v>
      </c>
      <c r="B421" s="38" t="s">
        <v>516</v>
      </c>
      <c r="C421" s="38" t="s">
        <v>517</v>
      </c>
      <c r="D421" s="38" t="s">
        <v>518</v>
      </c>
      <c r="E421" s="38" t="s">
        <v>1572</v>
      </c>
      <c r="F421" s="38">
        <f t="shared" si="51"/>
        <v>2024</v>
      </c>
      <c r="G421" s="38" t="str">
        <f t="shared" si="52"/>
        <v>December</v>
      </c>
      <c r="H421" s="30">
        <v>148429</v>
      </c>
      <c r="I421" s="30">
        <v>6118</v>
      </c>
      <c r="J421" s="39">
        <v>1413</v>
      </c>
      <c r="K421" s="39">
        <v>782</v>
      </c>
      <c r="L421" s="39">
        <v>344</v>
      </c>
      <c r="M421" s="40">
        <v>93856.35</v>
      </c>
      <c r="N421" s="40">
        <v>1316377.62</v>
      </c>
      <c r="O421" s="33">
        <f t="shared" si="55"/>
        <v>4.12</v>
      </c>
      <c r="P421" s="34">
        <f t="shared" si="53"/>
        <v>66.4234607218684</v>
      </c>
      <c r="Q421" s="35">
        <f t="shared" si="54"/>
        <v>14.0254508086027</v>
      </c>
      <c r="R421" s="35">
        <f t="shared" ref="R421:R484" si="56">(M421/I421)</f>
        <v>15.3410183066362</v>
      </c>
      <c r="S421" s="33">
        <f t="shared" si="49"/>
        <v>632.33</v>
      </c>
      <c r="T421" s="36">
        <f t="shared" si="50"/>
        <v>1302.55</v>
      </c>
    </row>
    <row r="422" spans="1:20">
      <c r="A422" s="28">
        <v>45650</v>
      </c>
      <c r="B422" s="29" t="s">
        <v>516</v>
      </c>
      <c r="C422" s="29" t="s">
        <v>517</v>
      </c>
      <c r="D422" s="29" t="s">
        <v>518</v>
      </c>
      <c r="E422" s="29" t="s">
        <v>1572</v>
      </c>
      <c r="F422" s="29">
        <f t="shared" si="51"/>
        <v>2024</v>
      </c>
      <c r="G422" s="29" t="str">
        <f t="shared" si="52"/>
        <v>December</v>
      </c>
      <c r="H422" s="30">
        <v>130005</v>
      </c>
      <c r="I422" s="30">
        <v>7572</v>
      </c>
      <c r="J422" s="31">
        <v>1183</v>
      </c>
      <c r="K422" s="31">
        <v>758</v>
      </c>
      <c r="L422" s="31">
        <v>342</v>
      </c>
      <c r="M422" s="32">
        <v>52249.34</v>
      </c>
      <c r="N422" s="32">
        <v>2407660.84</v>
      </c>
      <c r="O422" s="33">
        <f t="shared" si="55"/>
        <v>5.82</v>
      </c>
      <c r="P422" s="34">
        <f t="shared" si="53"/>
        <v>44.1668131868132</v>
      </c>
      <c r="Q422" s="35">
        <f t="shared" si="54"/>
        <v>46.0802153673137</v>
      </c>
      <c r="R422" s="35">
        <f t="shared" si="56"/>
        <v>6.9003354463814</v>
      </c>
      <c r="S422" s="33">
        <f t="shared" si="49"/>
        <v>401.9</v>
      </c>
      <c r="T422" s="36">
        <f t="shared" si="50"/>
        <v>4508.02</v>
      </c>
    </row>
    <row r="423" spans="1:20">
      <c r="A423" s="37">
        <v>45651</v>
      </c>
      <c r="B423" s="38" t="s">
        <v>516</v>
      </c>
      <c r="C423" s="38" t="s">
        <v>517</v>
      </c>
      <c r="D423" s="38" t="s">
        <v>518</v>
      </c>
      <c r="E423" s="38" t="s">
        <v>1573</v>
      </c>
      <c r="F423" s="38">
        <f t="shared" si="51"/>
        <v>2024</v>
      </c>
      <c r="G423" s="38" t="str">
        <f t="shared" si="52"/>
        <v>December</v>
      </c>
      <c r="H423" s="30">
        <v>188671</v>
      </c>
      <c r="I423" s="30">
        <v>14836</v>
      </c>
      <c r="J423" s="39">
        <v>3690</v>
      </c>
      <c r="K423" s="39">
        <v>2154</v>
      </c>
      <c r="L423" s="39">
        <v>921</v>
      </c>
      <c r="M423" s="40">
        <v>187239.3</v>
      </c>
      <c r="N423" s="40">
        <v>5745146.2</v>
      </c>
      <c r="O423" s="33">
        <f t="shared" si="55"/>
        <v>7.86</v>
      </c>
      <c r="P423" s="34">
        <f t="shared" si="53"/>
        <v>50.7423577235772</v>
      </c>
      <c r="Q423" s="35">
        <f t="shared" si="54"/>
        <v>30.6834419910777</v>
      </c>
      <c r="R423" s="35">
        <f t="shared" si="56"/>
        <v>12.6206052844432</v>
      </c>
      <c r="S423" s="33">
        <f t="shared" si="49"/>
        <v>992.41</v>
      </c>
      <c r="T423" s="36">
        <f t="shared" si="50"/>
        <v>2968.34</v>
      </c>
    </row>
    <row r="424" spans="1:20">
      <c r="A424" s="28">
        <v>45652</v>
      </c>
      <c r="B424" s="29" t="s">
        <v>516</v>
      </c>
      <c r="C424" s="29" t="s">
        <v>517</v>
      </c>
      <c r="D424" s="29" t="s">
        <v>518</v>
      </c>
      <c r="E424" s="29" t="s">
        <v>1572</v>
      </c>
      <c r="F424" s="29">
        <f t="shared" si="51"/>
        <v>2024</v>
      </c>
      <c r="G424" s="29" t="str">
        <f t="shared" si="52"/>
        <v>December</v>
      </c>
      <c r="H424" s="30">
        <v>210372</v>
      </c>
      <c r="I424" s="30">
        <v>8399</v>
      </c>
      <c r="J424" s="31">
        <v>1694</v>
      </c>
      <c r="K424" s="31">
        <v>973</v>
      </c>
      <c r="L424" s="31">
        <v>468</v>
      </c>
      <c r="M424" s="32">
        <v>119550.69</v>
      </c>
      <c r="N424" s="32">
        <v>3244204.25</v>
      </c>
      <c r="O424" s="33">
        <f t="shared" si="55"/>
        <v>3.99</v>
      </c>
      <c r="P424" s="34">
        <f t="shared" si="53"/>
        <v>70.5730165289256</v>
      </c>
      <c r="Q424" s="35">
        <f t="shared" si="54"/>
        <v>27.1366417876802</v>
      </c>
      <c r="R424" s="35">
        <f t="shared" si="56"/>
        <v>14.2339195142279</v>
      </c>
      <c r="S424" s="33">
        <f t="shared" si="49"/>
        <v>568.28</v>
      </c>
      <c r="T424" s="36">
        <f t="shared" si="50"/>
        <v>2613.66</v>
      </c>
    </row>
    <row r="425" spans="1:20">
      <c r="A425" s="37">
        <v>45653</v>
      </c>
      <c r="B425" s="38" t="s">
        <v>516</v>
      </c>
      <c r="C425" s="38" t="s">
        <v>517</v>
      </c>
      <c r="D425" s="38" t="s">
        <v>518</v>
      </c>
      <c r="E425" s="38" t="s">
        <v>1571</v>
      </c>
      <c r="F425" s="38">
        <f t="shared" si="51"/>
        <v>2024</v>
      </c>
      <c r="G425" s="38" t="str">
        <f t="shared" si="52"/>
        <v>December</v>
      </c>
      <c r="H425" s="30">
        <v>242821</v>
      </c>
      <c r="I425" s="30">
        <v>11287</v>
      </c>
      <c r="J425" s="39">
        <v>2295</v>
      </c>
      <c r="K425" s="39">
        <v>1202</v>
      </c>
      <c r="L425" s="39">
        <v>698</v>
      </c>
      <c r="M425" s="40">
        <v>99352.03</v>
      </c>
      <c r="N425" s="40">
        <v>4449421.1</v>
      </c>
      <c r="O425" s="33">
        <f t="shared" si="55"/>
        <v>4.65</v>
      </c>
      <c r="P425" s="34">
        <f t="shared" si="53"/>
        <v>43.2906448801743</v>
      </c>
      <c r="Q425" s="35">
        <f t="shared" si="54"/>
        <v>44.7844004797889</v>
      </c>
      <c r="R425" s="35">
        <f t="shared" si="56"/>
        <v>8.80234163196598</v>
      </c>
      <c r="S425" s="33">
        <f t="shared" ref="S425:S488" si="57">ROUND(M425/H425*1000,2)</f>
        <v>409.16</v>
      </c>
      <c r="T425" s="36">
        <f t="shared" si="50"/>
        <v>4378.44</v>
      </c>
    </row>
    <row r="426" spans="1:20">
      <c r="A426" s="28">
        <v>45654</v>
      </c>
      <c r="B426" s="29" t="s">
        <v>516</v>
      </c>
      <c r="C426" s="29" t="s">
        <v>517</v>
      </c>
      <c r="D426" s="29" t="s">
        <v>518</v>
      </c>
      <c r="E426" s="29" t="s">
        <v>1572</v>
      </c>
      <c r="F426" s="29">
        <f t="shared" si="51"/>
        <v>2024</v>
      </c>
      <c r="G426" s="29" t="str">
        <f t="shared" si="52"/>
        <v>December</v>
      </c>
      <c r="H426" s="30">
        <v>203553</v>
      </c>
      <c r="I426" s="30">
        <v>16070</v>
      </c>
      <c r="J426" s="31">
        <v>3160</v>
      </c>
      <c r="K426" s="31">
        <v>1749</v>
      </c>
      <c r="L426" s="31">
        <v>804</v>
      </c>
      <c r="M426" s="32">
        <v>85165.18</v>
      </c>
      <c r="N426" s="32">
        <v>4136749.5</v>
      </c>
      <c r="O426" s="33">
        <f t="shared" si="55"/>
        <v>7.89</v>
      </c>
      <c r="P426" s="34">
        <f t="shared" si="53"/>
        <v>26.9510063291139</v>
      </c>
      <c r="Q426" s="35">
        <f t="shared" si="54"/>
        <v>48.5732490672831</v>
      </c>
      <c r="R426" s="35">
        <f t="shared" si="56"/>
        <v>5.29963783447417</v>
      </c>
      <c r="S426" s="33">
        <f t="shared" si="57"/>
        <v>418.39</v>
      </c>
      <c r="T426" s="36">
        <f t="shared" si="50"/>
        <v>4757.32</v>
      </c>
    </row>
    <row r="427" spans="1:20">
      <c r="A427" s="37">
        <v>45655</v>
      </c>
      <c r="B427" s="38" t="s">
        <v>516</v>
      </c>
      <c r="C427" s="38" t="s">
        <v>517</v>
      </c>
      <c r="D427" s="38" t="s">
        <v>518</v>
      </c>
      <c r="E427" s="38" t="s">
        <v>1571</v>
      </c>
      <c r="F427" s="38">
        <f t="shared" si="51"/>
        <v>2024</v>
      </c>
      <c r="G427" s="38" t="str">
        <f t="shared" si="52"/>
        <v>December</v>
      </c>
      <c r="H427" s="30">
        <v>76603</v>
      </c>
      <c r="I427" s="30">
        <v>5356</v>
      </c>
      <c r="J427" s="39">
        <v>1267</v>
      </c>
      <c r="K427" s="39">
        <v>651</v>
      </c>
      <c r="L427" s="39">
        <v>332</v>
      </c>
      <c r="M427" s="40">
        <v>45529.69</v>
      </c>
      <c r="N427" s="40">
        <v>1938587.1</v>
      </c>
      <c r="O427" s="33">
        <f t="shared" si="55"/>
        <v>6.99</v>
      </c>
      <c r="P427" s="34">
        <f t="shared" si="53"/>
        <v>35.9350355169692</v>
      </c>
      <c r="Q427" s="35">
        <f t="shared" si="54"/>
        <v>42.5785262320038</v>
      </c>
      <c r="R427" s="35">
        <f t="shared" si="56"/>
        <v>8.50068894697536</v>
      </c>
      <c r="S427" s="33">
        <f t="shared" si="57"/>
        <v>594.36</v>
      </c>
      <c r="T427" s="36">
        <f t="shared" si="50"/>
        <v>4157.85</v>
      </c>
    </row>
    <row r="428" spans="1:20">
      <c r="A428" s="28">
        <v>45656</v>
      </c>
      <c r="B428" s="29" t="s">
        <v>516</v>
      </c>
      <c r="C428" s="29" t="s">
        <v>517</v>
      </c>
      <c r="D428" s="29" t="s">
        <v>518</v>
      </c>
      <c r="E428" s="29" t="s">
        <v>1572</v>
      </c>
      <c r="F428" s="29">
        <f t="shared" si="51"/>
        <v>2024</v>
      </c>
      <c r="G428" s="29" t="str">
        <f t="shared" si="52"/>
        <v>December</v>
      </c>
      <c r="H428" s="30">
        <v>170097</v>
      </c>
      <c r="I428" s="30">
        <v>6950</v>
      </c>
      <c r="J428" s="31">
        <v>1199</v>
      </c>
      <c r="K428" s="31">
        <v>740</v>
      </c>
      <c r="L428" s="31">
        <v>397</v>
      </c>
      <c r="M428" s="32">
        <v>123129.23</v>
      </c>
      <c r="N428" s="32">
        <v>2422516.68</v>
      </c>
      <c r="O428" s="33">
        <f t="shared" si="55"/>
        <v>4.09</v>
      </c>
      <c r="P428" s="34">
        <f t="shared" si="53"/>
        <v>102.693269391159</v>
      </c>
      <c r="Q428" s="35">
        <f t="shared" si="54"/>
        <v>19.6745864487255</v>
      </c>
      <c r="R428" s="35">
        <f t="shared" si="56"/>
        <v>17.716435971223</v>
      </c>
      <c r="S428" s="33">
        <f t="shared" si="57"/>
        <v>723.88</v>
      </c>
      <c r="T428" s="36">
        <f t="shared" si="50"/>
        <v>1867.46</v>
      </c>
    </row>
    <row r="429" spans="1:20">
      <c r="A429" s="37">
        <v>45657</v>
      </c>
      <c r="B429" s="38" t="s">
        <v>516</v>
      </c>
      <c r="C429" s="38" t="s">
        <v>517</v>
      </c>
      <c r="D429" s="38" t="s">
        <v>518</v>
      </c>
      <c r="E429" s="38" t="s">
        <v>1572</v>
      </c>
      <c r="F429" s="38">
        <f t="shared" si="51"/>
        <v>2024</v>
      </c>
      <c r="G429" s="38" t="str">
        <f t="shared" si="52"/>
        <v>December</v>
      </c>
      <c r="H429" s="30">
        <v>131701</v>
      </c>
      <c r="I429" s="30">
        <v>9179</v>
      </c>
      <c r="J429" s="39">
        <v>1437</v>
      </c>
      <c r="K429" s="39">
        <v>927</v>
      </c>
      <c r="L429" s="39">
        <v>505</v>
      </c>
      <c r="M429" s="40">
        <v>59393.39</v>
      </c>
      <c r="N429" s="40">
        <v>3247013.45</v>
      </c>
      <c r="O429" s="33">
        <f t="shared" si="55"/>
        <v>6.97</v>
      </c>
      <c r="P429" s="34">
        <f t="shared" si="53"/>
        <v>41.3315170494085</v>
      </c>
      <c r="Q429" s="35">
        <f t="shared" si="54"/>
        <v>54.6696096989918</v>
      </c>
      <c r="R429" s="35">
        <f t="shared" si="56"/>
        <v>6.47057304717289</v>
      </c>
      <c r="S429" s="33">
        <f t="shared" si="57"/>
        <v>450.97</v>
      </c>
      <c r="T429" s="36">
        <f t="shared" si="50"/>
        <v>5366.96</v>
      </c>
    </row>
    <row r="430" spans="1:20">
      <c r="A430" s="28">
        <v>45658</v>
      </c>
      <c r="B430" s="29" t="s">
        <v>885</v>
      </c>
      <c r="C430" s="29" t="s">
        <v>886</v>
      </c>
      <c r="D430" s="29" t="s">
        <v>887</v>
      </c>
      <c r="E430" s="29" t="s">
        <v>1572</v>
      </c>
      <c r="F430" s="29">
        <f t="shared" si="51"/>
        <v>2025</v>
      </c>
      <c r="G430" s="29" t="str">
        <f t="shared" si="52"/>
        <v>January</v>
      </c>
      <c r="H430" s="30">
        <v>279530</v>
      </c>
      <c r="I430" s="30">
        <v>19894</v>
      </c>
      <c r="J430" s="31">
        <v>3599</v>
      </c>
      <c r="K430" s="31">
        <v>2203</v>
      </c>
      <c r="L430" s="31">
        <v>1218</v>
      </c>
      <c r="M430" s="32">
        <v>273389.72</v>
      </c>
      <c r="N430" s="32">
        <v>8583247.3</v>
      </c>
      <c r="O430" s="33">
        <f t="shared" si="55"/>
        <v>7.12</v>
      </c>
      <c r="P430" s="34">
        <f t="shared" si="53"/>
        <v>75.96268963601</v>
      </c>
      <c r="Q430" s="35">
        <f t="shared" si="54"/>
        <v>31.395647575922</v>
      </c>
      <c r="R430" s="35">
        <f t="shared" si="56"/>
        <v>13.7423202975772</v>
      </c>
      <c r="S430" s="33">
        <f t="shared" si="57"/>
        <v>978.03</v>
      </c>
      <c r="T430" s="36">
        <f t="shared" ref="T430:T493" si="58">ROUND((N430-M430)/M430*100,2)</f>
        <v>3039.56</v>
      </c>
    </row>
    <row r="431" spans="1:20">
      <c r="A431" s="37">
        <v>45689</v>
      </c>
      <c r="B431" s="38" t="s">
        <v>885</v>
      </c>
      <c r="C431" s="38" t="s">
        <v>886</v>
      </c>
      <c r="D431" s="38" t="s">
        <v>887</v>
      </c>
      <c r="E431" s="38" t="s">
        <v>1571</v>
      </c>
      <c r="F431" s="38">
        <f t="shared" si="51"/>
        <v>2025</v>
      </c>
      <c r="G431" s="38" t="str">
        <f t="shared" si="52"/>
        <v>February</v>
      </c>
      <c r="H431" s="30">
        <v>107357</v>
      </c>
      <c r="I431" s="30">
        <v>3850</v>
      </c>
      <c r="J431" s="39">
        <v>660</v>
      </c>
      <c r="K431" s="39">
        <v>404</v>
      </c>
      <c r="L431" s="39">
        <v>170</v>
      </c>
      <c r="M431" s="40">
        <v>64297.75</v>
      </c>
      <c r="N431" s="40">
        <v>639111.06</v>
      </c>
      <c r="O431" s="33">
        <f t="shared" si="55"/>
        <v>3.59</v>
      </c>
      <c r="P431" s="34">
        <f t="shared" si="53"/>
        <v>97.4208333333333</v>
      </c>
      <c r="Q431" s="35">
        <f t="shared" si="54"/>
        <v>9.9398666360798</v>
      </c>
      <c r="R431" s="35">
        <f t="shared" si="56"/>
        <v>16.7007142857143</v>
      </c>
      <c r="S431" s="33">
        <f t="shared" si="57"/>
        <v>598.92</v>
      </c>
      <c r="T431" s="36">
        <f t="shared" si="58"/>
        <v>893.99</v>
      </c>
    </row>
    <row r="432" spans="1:20">
      <c r="A432" s="28">
        <v>45717</v>
      </c>
      <c r="B432" s="29" t="s">
        <v>885</v>
      </c>
      <c r="C432" s="29" t="s">
        <v>886</v>
      </c>
      <c r="D432" s="29" t="s">
        <v>887</v>
      </c>
      <c r="E432" s="29" t="s">
        <v>1573</v>
      </c>
      <c r="F432" s="29">
        <f t="shared" si="51"/>
        <v>2025</v>
      </c>
      <c r="G432" s="29" t="str">
        <f t="shared" si="52"/>
        <v>March</v>
      </c>
      <c r="H432" s="30">
        <v>234568</v>
      </c>
      <c r="I432" s="30">
        <v>11507</v>
      </c>
      <c r="J432" s="31">
        <v>2233</v>
      </c>
      <c r="K432" s="31">
        <v>1415</v>
      </c>
      <c r="L432" s="31">
        <v>677</v>
      </c>
      <c r="M432" s="32">
        <v>228209.58</v>
      </c>
      <c r="N432" s="32">
        <v>3116134.9</v>
      </c>
      <c r="O432" s="33">
        <f t="shared" si="55"/>
        <v>4.91</v>
      </c>
      <c r="P432" s="34">
        <f t="shared" si="53"/>
        <v>102.198647559337</v>
      </c>
      <c r="Q432" s="35">
        <f t="shared" si="54"/>
        <v>13.6547067831245</v>
      </c>
      <c r="R432" s="35">
        <f t="shared" si="56"/>
        <v>19.8322395063874</v>
      </c>
      <c r="S432" s="33">
        <f t="shared" si="57"/>
        <v>972.89</v>
      </c>
      <c r="T432" s="36">
        <f t="shared" si="58"/>
        <v>1265.47</v>
      </c>
    </row>
    <row r="433" spans="1:20">
      <c r="A433" s="37">
        <v>45748</v>
      </c>
      <c r="B433" s="38" t="s">
        <v>885</v>
      </c>
      <c r="C433" s="38" t="s">
        <v>886</v>
      </c>
      <c r="D433" s="38" t="s">
        <v>887</v>
      </c>
      <c r="E433" s="38" t="s">
        <v>1573</v>
      </c>
      <c r="F433" s="38">
        <f t="shared" si="51"/>
        <v>2025</v>
      </c>
      <c r="G433" s="38" t="str">
        <f t="shared" si="52"/>
        <v>April</v>
      </c>
      <c r="H433" s="30">
        <v>118873</v>
      </c>
      <c r="I433" s="30">
        <v>6602</v>
      </c>
      <c r="J433" s="39">
        <v>1257</v>
      </c>
      <c r="K433" s="39">
        <v>706</v>
      </c>
      <c r="L433" s="39">
        <v>337</v>
      </c>
      <c r="M433" s="40">
        <v>88250.44</v>
      </c>
      <c r="N433" s="40">
        <v>1510928.16</v>
      </c>
      <c r="O433" s="33">
        <f t="shared" si="55"/>
        <v>5.55</v>
      </c>
      <c r="P433" s="34">
        <f t="shared" si="53"/>
        <v>70.2071917263325</v>
      </c>
      <c r="Q433" s="35">
        <f t="shared" si="54"/>
        <v>17.1209136181077</v>
      </c>
      <c r="R433" s="35">
        <f t="shared" si="56"/>
        <v>13.3672281126931</v>
      </c>
      <c r="S433" s="33">
        <f t="shared" si="57"/>
        <v>742.39</v>
      </c>
      <c r="T433" s="36">
        <f t="shared" si="58"/>
        <v>1612.09</v>
      </c>
    </row>
    <row r="434" spans="1:20">
      <c r="A434" s="28">
        <v>45778</v>
      </c>
      <c r="B434" s="29" t="s">
        <v>885</v>
      </c>
      <c r="C434" s="29" t="s">
        <v>886</v>
      </c>
      <c r="D434" s="29" t="s">
        <v>887</v>
      </c>
      <c r="E434" s="29" t="s">
        <v>1572</v>
      </c>
      <c r="F434" s="29">
        <f t="shared" si="51"/>
        <v>2025</v>
      </c>
      <c r="G434" s="29" t="str">
        <f t="shared" si="52"/>
        <v>May</v>
      </c>
      <c r="H434" s="30">
        <v>65935</v>
      </c>
      <c r="I434" s="30">
        <v>3337</v>
      </c>
      <c r="J434" s="31">
        <v>635</v>
      </c>
      <c r="K434" s="31">
        <v>299</v>
      </c>
      <c r="L434" s="31">
        <v>144</v>
      </c>
      <c r="M434" s="32">
        <v>33688.76</v>
      </c>
      <c r="N434" s="32">
        <v>618176.8</v>
      </c>
      <c r="O434" s="33">
        <f t="shared" si="55"/>
        <v>5.06</v>
      </c>
      <c r="P434" s="34">
        <f t="shared" si="53"/>
        <v>53.0531653543307</v>
      </c>
      <c r="Q434" s="35">
        <f t="shared" si="54"/>
        <v>18.349645401018</v>
      </c>
      <c r="R434" s="35">
        <f t="shared" si="56"/>
        <v>10.0955229247827</v>
      </c>
      <c r="S434" s="33">
        <f t="shared" si="57"/>
        <v>510.94</v>
      </c>
      <c r="T434" s="36">
        <f t="shared" si="58"/>
        <v>1734.96</v>
      </c>
    </row>
    <row r="435" spans="1:20">
      <c r="A435" s="37">
        <v>45809</v>
      </c>
      <c r="B435" s="38" t="s">
        <v>885</v>
      </c>
      <c r="C435" s="38" t="s">
        <v>886</v>
      </c>
      <c r="D435" s="38" t="s">
        <v>887</v>
      </c>
      <c r="E435" s="38" t="s">
        <v>1573</v>
      </c>
      <c r="F435" s="38">
        <f t="shared" si="51"/>
        <v>2025</v>
      </c>
      <c r="G435" s="38" t="str">
        <f t="shared" si="52"/>
        <v>June</v>
      </c>
      <c r="H435" s="30">
        <v>98052</v>
      </c>
      <c r="I435" s="30">
        <v>5653</v>
      </c>
      <c r="J435" s="39">
        <v>1278</v>
      </c>
      <c r="K435" s="39">
        <v>620</v>
      </c>
      <c r="L435" s="39">
        <v>365</v>
      </c>
      <c r="M435" s="40">
        <v>66527.79</v>
      </c>
      <c r="N435" s="40">
        <v>2071736.22</v>
      </c>
      <c r="O435" s="33">
        <f t="shared" si="55"/>
        <v>5.77</v>
      </c>
      <c r="P435" s="34">
        <f t="shared" si="53"/>
        <v>52.0561737089202</v>
      </c>
      <c r="Q435" s="35">
        <f t="shared" si="54"/>
        <v>31.1409144960324</v>
      </c>
      <c r="R435" s="35">
        <f t="shared" si="56"/>
        <v>11.7685812842738</v>
      </c>
      <c r="S435" s="33">
        <f t="shared" si="57"/>
        <v>678.49</v>
      </c>
      <c r="T435" s="36">
        <f t="shared" si="58"/>
        <v>3014.09</v>
      </c>
    </row>
    <row r="436" spans="1:20">
      <c r="A436" s="28">
        <v>45839</v>
      </c>
      <c r="B436" s="29" t="s">
        <v>885</v>
      </c>
      <c r="C436" s="29" t="s">
        <v>886</v>
      </c>
      <c r="D436" s="29" t="s">
        <v>887</v>
      </c>
      <c r="E436" s="29" t="s">
        <v>1572</v>
      </c>
      <c r="F436" s="29">
        <f t="shared" si="51"/>
        <v>2025</v>
      </c>
      <c r="G436" s="29" t="str">
        <f t="shared" si="52"/>
        <v>July</v>
      </c>
      <c r="H436" s="30">
        <v>131378</v>
      </c>
      <c r="I436" s="30">
        <v>7546</v>
      </c>
      <c r="J436" s="31">
        <v>1518</v>
      </c>
      <c r="K436" s="31">
        <v>715</v>
      </c>
      <c r="L436" s="31">
        <v>293</v>
      </c>
      <c r="M436" s="32">
        <v>83251.47</v>
      </c>
      <c r="N436" s="32">
        <v>1142012.75</v>
      </c>
      <c r="O436" s="33">
        <f t="shared" si="55"/>
        <v>5.74</v>
      </c>
      <c r="P436" s="34">
        <f t="shared" si="53"/>
        <v>54.8428656126482</v>
      </c>
      <c r="Q436" s="35">
        <f t="shared" si="54"/>
        <v>13.7176286496803</v>
      </c>
      <c r="R436" s="35">
        <f t="shared" si="56"/>
        <v>11.0325298171217</v>
      </c>
      <c r="S436" s="33">
        <f t="shared" si="57"/>
        <v>633.68</v>
      </c>
      <c r="T436" s="36">
        <f t="shared" si="58"/>
        <v>1271.76</v>
      </c>
    </row>
    <row r="437" spans="1:20">
      <c r="A437" s="37">
        <v>45870</v>
      </c>
      <c r="B437" s="38" t="s">
        <v>885</v>
      </c>
      <c r="C437" s="38" t="s">
        <v>886</v>
      </c>
      <c r="D437" s="38" t="s">
        <v>887</v>
      </c>
      <c r="E437" s="38" t="s">
        <v>1572</v>
      </c>
      <c r="F437" s="38">
        <f t="shared" si="51"/>
        <v>2025</v>
      </c>
      <c r="G437" s="38" t="str">
        <f t="shared" si="52"/>
        <v>August</v>
      </c>
      <c r="H437" s="30">
        <v>262420</v>
      </c>
      <c r="I437" s="30">
        <v>14446</v>
      </c>
      <c r="J437" s="39">
        <v>3479</v>
      </c>
      <c r="K437" s="39">
        <v>2040</v>
      </c>
      <c r="L437" s="39">
        <v>966</v>
      </c>
      <c r="M437" s="40">
        <v>119191.61</v>
      </c>
      <c r="N437" s="40">
        <v>6335108.83</v>
      </c>
      <c r="O437" s="33">
        <f t="shared" si="55"/>
        <v>5.5</v>
      </c>
      <c r="P437" s="34">
        <f t="shared" si="53"/>
        <v>34.2603075596436</v>
      </c>
      <c r="Q437" s="35">
        <f t="shared" si="54"/>
        <v>53.1506272127711</v>
      </c>
      <c r="R437" s="35">
        <f t="shared" si="56"/>
        <v>8.25083829433753</v>
      </c>
      <c r="S437" s="33">
        <f t="shared" si="57"/>
        <v>454.2</v>
      </c>
      <c r="T437" s="36">
        <f t="shared" si="58"/>
        <v>5215.06</v>
      </c>
    </row>
    <row r="438" spans="1:20">
      <c r="A438" s="28">
        <v>45901</v>
      </c>
      <c r="B438" s="29" t="s">
        <v>885</v>
      </c>
      <c r="C438" s="29" t="s">
        <v>886</v>
      </c>
      <c r="D438" s="29" t="s">
        <v>887</v>
      </c>
      <c r="E438" s="29" t="s">
        <v>1573</v>
      </c>
      <c r="F438" s="29">
        <f t="shared" si="51"/>
        <v>2025</v>
      </c>
      <c r="G438" s="29" t="str">
        <f t="shared" si="52"/>
        <v>September</v>
      </c>
      <c r="H438" s="30">
        <v>153266</v>
      </c>
      <c r="I438" s="30">
        <v>6717</v>
      </c>
      <c r="J438" s="31">
        <v>1640</v>
      </c>
      <c r="K438" s="31">
        <v>966</v>
      </c>
      <c r="L438" s="31">
        <v>430</v>
      </c>
      <c r="M438" s="32">
        <v>153149.87</v>
      </c>
      <c r="N438" s="32">
        <v>2013145.18</v>
      </c>
      <c r="O438" s="33">
        <f t="shared" si="55"/>
        <v>4.38</v>
      </c>
      <c r="P438" s="34">
        <f t="shared" si="53"/>
        <v>93.3840670731707</v>
      </c>
      <c r="Q438" s="35">
        <f t="shared" si="54"/>
        <v>13.1449356111109</v>
      </c>
      <c r="R438" s="35">
        <f t="shared" si="56"/>
        <v>22.8003379484889</v>
      </c>
      <c r="S438" s="33">
        <f t="shared" si="57"/>
        <v>999.24</v>
      </c>
      <c r="T438" s="36">
        <f t="shared" si="58"/>
        <v>1214.49</v>
      </c>
    </row>
    <row r="439" spans="1:20">
      <c r="A439" s="37">
        <v>45931</v>
      </c>
      <c r="B439" s="38" t="s">
        <v>885</v>
      </c>
      <c r="C439" s="38" t="s">
        <v>886</v>
      </c>
      <c r="D439" s="38" t="s">
        <v>887</v>
      </c>
      <c r="E439" s="38" t="s">
        <v>1572</v>
      </c>
      <c r="F439" s="38">
        <f t="shared" si="51"/>
        <v>2025</v>
      </c>
      <c r="G439" s="38" t="str">
        <f t="shared" si="52"/>
        <v>October</v>
      </c>
      <c r="H439" s="30">
        <v>70209</v>
      </c>
      <c r="I439" s="30">
        <v>2239</v>
      </c>
      <c r="J439" s="39">
        <v>511</v>
      </c>
      <c r="K439" s="39">
        <v>331</v>
      </c>
      <c r="L439" s="39">
        <v>185</v>
      </c>
      <c r="M439" s="40">
        <v>54632.02</v>
      </c>
      <c r="N439" s="40">
        <v>1173022.89</v>
      </c>
      <c r="O439" s="33">
        <f t="shared" si="55"/>
        <v>3.19</v>
      </c>
      <c r="P439" s="34">
        <f t="shared" si="53"/>
        <v>106.911976516634</v>
      </c>
      <c r="Q439" s="35">
        <f t="shared" si="54"/>
        <v>21.471343911501</v>
      </c>
      <c r="R439" s="35">
        <f t="shared" si="56"/>
        <v>24.4001875837427</v>
      </c>
      <c r="S439" s="33">
        <f t="shared" si="57"/>
        <v>778.13</v>
      </c>
      <c r="T439" s="36">
        <f t="shared" si="58"/>
        <v>2047.13</v>
      </c>
    </row>
    <row r="440" spans="1:20">
      <c r="A440" s="28">
        <v>45962</v>
      </c>
      <c r="B440" s="29" t="s">
        <v>885</v>
      </c>
      <c r="C440" s="29" t="s">
        <v>886</v>
      </c>
      <c r="D440" s="29" t="s">
        <v>887</v>
      </c>
      <c r="E440" s="29" t="s">
        <v>1572</v>
      </c>
      <c r="F440" s="29">
        <f t="shared" si="51"/>
        <v>2025</v>
      </c>
      <c r="G440" s="29" t="str">
        <f t="shared" si="52"/>
        <v>November</v>
      </c>
      <c r="H440" s="30">
        <v>125823</v>
      </c>
      <c r="I440" s="30">
        <v>6100</v>
      </c>
      <c r="J440" s="31">
        <v>1244</v>
      </c>
      <c r="K440" s="31">
        <v>598</v>
      </c>
      <c r="L440" s="31">
        <v>263</v>
      </c>
      <c r="M440" s="32">
        <v>78509.29</v>
      </c>
      <c r="N440" s="32">
        <v>1955712.94</v>
      </c>
      <c r="O440" s="33">
        <f t="shared" si="55"/>
        <v>4.85</v>
      </c>
      <c r="P440" s="34">
        <f t="shared" si="53"/>
        <v>63.1103617363344</v>
      </c>
      <c r="Q440" s="35">
        <f t="shared" si="54"/>
        <v>24.9105926190391</v>
      </c>
      <c r="R440" s="35">
        <f t="shared" si="56"/>
        <v>12.8703754098361</v>
      </c>
      <c r="S440" s="33">
        <f t="shared" si="57"/>
        <v>623.97</v>
      </c>
      <c r="T440" s="36">
        <f t="shared" si="58"/>
        <v>2391.06</v>
      </c>
    </row>
    <row r="441" spans="1:20">
      <c r="A441" s="37">
        <v>45992</v>
      </c>
      <c r="B441" s="38" t="s">
        <v>885</v>
      </c>
      <c r="C441" s="38" t="s">
        <v>886</v>
      </c>
      <c r="D441" s="38" t="s">
        <v>887</v>
      </c>
      <c r="E441" s="38" t="s">
        <v>1573</v>
      </c>
      <c r="F441" s="38">
        <f t="shared" si="51"/>
        <v>2025</v>
      </c>
      <c r="G441" s="38" t="str">
        <f t="shared" si="52"/>
        <v>December</v>
      </c>
      <c r="H441" s="30">
        <v>203716</v>
      </c>
      <c r="I441" s="30">
        <v>6420</v>
      </c>
      <c r="J441" s="39">
        <v>1047</v>
      </c>
      <c r="K441" s="39">
        <v>499</v>
      </c>
      <c r="L441" s="39">
        <v>199</v>
      </c>
      <c r="M441" s="40">
        <v>165278.22</v>
      </c>
      <c r="N441" s="40">
        <v>840797.82</v>
      </c>
      <c r="O441" s="33">
        <f t="shared" si="55"/>
        <v>3.15</v>
      </c>
      <c r="P441" s="34">
        <f t="shared" si="53"/>
        <v>157.858853868195</v>
      </c>
      <c r="Q441" s="35">
        <f t="shared" si="54"/>
        <v>5.08716647601844</v>
      </c>
      <c r="R441" s="35">
        <f t="shared" si="56"/>
        <v>25.7442710280374</v>
      </c>
      <c r="S441" s="33">
        <f t="shared" si="57"/>
        <v>811.32</v>
      </c>
      <c r="T441" s="36">
        <f t="shared" si="58"/>
        <v>408.72</v>
      </c>
    </row>
    <row r="442" spans="1:20">
      <c r="A442" s="28">
        <v>45670</v>
      </c>
      <c r="B442" s="29" t="s">
        <v>885</v>
      </c>
      <c r="C442" s="29" t="s">
        <v>886</v>
      </c>
      <c r="D442" s="29" t="s">
        <v>887</v>
      </c>
      <c r="E442" s="29" t="s">
        <v>1572</v>
      </c>
      <c r="F442" s="29">
        <f t="shared" si="51"/>
        <v>2025</v>
      </c>
      <c r="G442" s="29" t="str">
        <f t="shared" si="52"/>
        <v>January</v>
      </c>
      <c r="H442" s="30">
        <v>146482</v>
      </c>
      <c r="I442" s="30">
        <v>4711</v>
      </c>
      <c r="J442" s="31">
        <v>931</v>
      </c>
      <c r="K442" s="31">
        <v>572</v>
      </c>
      <c r="L442" s="31">
        <v>338</v>
      </c>
      <c r="M442" s="32">
        <v>141930.1</v>
      </c>
      <c r="N442" s="32">
        <v>2174371.93</v>
      </c>
      <c r="O442" s="33">
        <f t="shared" si="55"/>
        <v>3.22</v>
      </c>
      <c r="P442" s="34">
        <f t="shared" si="53"/>
        <v>152.449087003222</v>
      </c>
      <c r="Q442" s="35">
        <f t="shared" si="54"/>
        <v>15.3200197139296</v>
      </c>
      <c r="R442" s="35">
        <f t="shared" si="56"/>
        <v>30.1273827212906</v>
      </c>
      <c r="S442" s="33">
        <f t="shared" si="57"/>
        <v>968.93</v>
      </c>
      <c r="T442" s="36">
        <f t="shared" si="58"/>
        <v>1432</v>
      </c>
    </row>
    <row r="443" spans="1:20">
      <c r="A443" s="37">
        <v>45671</v>
      </c>
      <c r="B443" s="38" t="s">
        <v>885</v>
      </c>
      <c r="C443" s="38" t="s">
        <v>886</v>
      </c>
      <c r="D443" s="38" t="s">
        <v>887</v>
      </c>
      <c r="E443" s="38" t="s">
        <v>1572</v>
      </c>
      <c r="F443" s="38">
        <f t="shared" si="51"/>
        <v>2025</v>
      </c>
      <c r="G443" s="38" t="str">
        <f t="shared" si="52"/>
        <v>January</v>
      </c>
      <c r="H443" s="30">
        <v>266480</v>
      </c>
      <c r="I443" s="30">
        <v>8507</v>
      </c>
      <c r="J443" s="39">
        <v>1449</v>
      </c>
      <c r="K443" s="39">
        <v>740</v>
      </c>
      <c r="L443" s="39">
        <v>346</v>
      </c>
      <c r="M443" s="40">
        <v>179057.44</v>
      </c>
      <c r="N443" s="40">
        <v>2625757.68</v>
      </c>
      <c r="O443" s="33">
        <f t="shared" si="55"/>
        <v>3.19</v>
      </c>
      <c r="P443" s="34">
        <f t="shared" si="53"/>
        <v>123.573112491373</v>
      </c>
      <c r="Q443" s="35">
        <f t="shared" si="54"/>
        <v>14.6643316245334</v>
      </c>
      <c r="R443" s="35">
        <f t="shared" si="56"/>
        <v>21.0482473257318</v>
      </c>
      <c r="S443" s="33">
        <f t="shared" si="57"/>
        <v>671.94</v>
      </c>
      <c r="T443" s="36">
        <f t="shared" si="58"/>
        <v>1366.43</v>
      </c>
    </row>
    <row r="444" spans="1:20">
      <c r="A444" s="28">
        <v>45672</v>
      </c>
      <c r="B444" s="29" t="s">
        <v>885</v>
      </c>
      <c r="C444" s="29" t="s">
        <v>886</v>
      </c>
      <c r="D444" s="29" t="s">
        <v>887</v>
      </c>
      <c r="E444" s="29" t="s">
        <v>1572</v>
      </c>
      <c r="F444" s="29">
        <f t="shared" si="51"/>
        <v>2025</v>
      </c>
      <c r="G444" s="29" t="str">
        <f t="shared" si="52"/>
        <v>January</v>
      </c>
      <c r="H444" s="30">
        <v>119877</v>
      </c>
      <c r="I444" s="30">
        <v>5157</v>
      </c>
      <c r="J444" s="31">
        <v>853</v>
      </c>
      <c r="K444" s="31">
        <v>489</v>
      </c>
      <c r="L444" s="31">
        <v>196</v>
      </c>
      <c r="M444" s="32">
        <v>55662.12</v>
      </c>
      <c r="N444" s="32">
        <v>601879.73</v>
      </c>
      <c r="O444" s="33">
        <f t="shared" si="55"/>
        <v>4.3</v>
      </c>
      <c r="P444" s="34">
        <f t="shared" si="53"/>
        <v>65.2545369284877</v>
      </c>
      <c r="Q444" s="35">
        <f t="shared" si="54"/>
        <v>10.8130938958128</v>
      </c>
      <c r="R444" s="35">
        <f t="shared" si="56"/>
        <v>10.7935078534031</v>
      </c>
      <c r="S444" s="33">
        <f t="shared" si="57"/>
        <v>464.33</v>
      </c>
      <c r="T444" s="36">
        <f t="shared" si="58"/>
        <v>981.31</v>
      </c>
    </row>
    <row r="445" spans="1:20">
      <c r="A445" s="37">
        <v>45673</v>
      </c>
      <c r="B445" s="38" t="s">
        <v>885</v>
      </c>
      <c r="C445" s="38" t="s">
        <v>886</v>
      </c>
      <c r="D445" s="38" t="s">
        <v>887</v>
      </c>
      <c r="E445" s="38" t="s">
        <v>1573</v>
      </c>
      <c r="F445" s="38">
        <f t="shared" si="51"/>
        <v>2025</v>
      </c>
      <c r="G445" s="38" t="str">
        <f t="shared" si="52"/>
        <v>January</v>
      </c>
      <c r="H445" s="30">
        <v>258617</v>
      </c>
      <c r="I445" s="30">
        <v>11130</v>
      </c>
      <c r="J445" s="39">
        <v>2706</v>
      </c>
      <c r="K445" s="39">
        <v>1265</v>
      </c>
      <c r="L445" s="39">
        <v>634</v>
      </c>
      <c r="M445" s="40">
        <v>220388.72</v>
      </c>
      <c r="N445" s="40">
        <v>3969227.91</v>
      </c>
      <c r="O445" s="33">
        <f t="shared" si="55"/>
        <v>4.3</v>
      </c>
      <c r="P445" s="34">
        <f t="shared" si="53"/>
        <v>81.4444641537324</v>
      </c>
      <c r="Q445" s="35">
        <f t="shared" si="54"/>
        <v>18.0101227957583</v>
      </c>
      <c r="R445" s="35">
        <f t="shared" si="56"/>
        <v>19.8013225516622</v>
      </c>
      <c r="S445" s="33">
        <f t="shared" si="57"/>
        <v>852.18</v>
      </c>
      <c r="T445" s="36">
        <f t="shared" si="58"/>
        <v>1701.01</v>
      </c>
    </row>
    <row r="446" spans="1:20">
      <c r="A446" s="28">
        <v>45674</v>
      </c>
      <c r="B446" s="29" t="s">
        <v>885</v>
      </c>
      <c r="C446" s="29" t="s">
        <v>886</v>
      </c>
      <c r="D446" s="29" t="s">
        <v>887</v>
      </c>
      <c r="E446" s="29" t="s">
        <v>1573</v>
      </c>
      <c r="F446" s="29">
        <f t="shared" si="51"/>
        <v>2025</v>
      </c>
      <c r="G446" s="29" t="str">
        <f t="shared" si="52"/>
        <v>January</v>
      </c>
      <c r="H446" s="30">
        <v>286009</v>
      </c>
      <c r="I446" s="30">
        <v>20719</v>
      </c>
      <c r="J446" s="31">
        <v>3174</v>
      </c>
      <c r="K446" s="31">
        <v>1988</v>
      </c>
      <c r="L446" s="31">
        <v>1183</v>
      </c>
      <c r="M446" s="32">
        <v>159981.23</v>
      </c>
      <c r="N446" s="32">
        <v>5016566.76</v>
      </c>
      <c r="O446" s="33">
        <f t="shared" si="55"/>
        <v>7.24</v>
      </c>
      <c r="P446" s="34">
        <f t="shared" si="53"/>
        <v>50.4036641461878</v>
      </c>
      <c r="Q446" s="35">
        <f t="shared" si="54"/>
        <v>31.3572208439703</v>
      </c>
      <c r="R446" s="35">
        <f t="shared" si="56"/>
        <v>7.72147449201216</v>
      </c>
      <c r="S446" s="33">
        <f t="shared" si="57"/>
        <v>559.36</v>
      </c>
      <c r="T446" s="36">
        <f t="shared" si="58"/>
        <v>3035.72</v>
      </c>
    </row>
    <row r="447" spans="1:20">
      <c r="A447" s="37">
        <v>45675</v>
      </c>
      <c r="B447" s="38" t="s">
        <v>885</v>
      </c>
      <c r="C447" s="38" t="s">
        <v>886</v>
      </c>
      <c r="D447" s="38" t="s">
        <v>887</v>
      </c>
      <c r="E447" s="38" t="s">
        <v>1572</v>
      </c>
      <c r="F447" s="38">
        <f t="shared" si="51"/>
        <v>2025</v>
      </c>
      <c r="G447" s="38" t="str">
        <f t="shared" si="52"/>
        <v>January</v>
      </c>
      <c r="H447" s="30">
        <v>143217</v>
      </c>
      <c r="I447" s="30">
        <v>6695</v>
      </c>
      <c r="J447" s="39">
        <v>1166</v>
      </c>
      <c r="K447" s="39">
        <v>607</v>
      </c>
      <c r="L447" s="39">
        <v>327</v>
      </c>
      <c r="M447" s="40">
        <v>67853.55</v>
      </c>
      <c r="N447" s="40">
        <v>1547240.6</v>
      </c>
      <c r="O447" s="33">
        <f t="shared" si="55"/>
        <v>4.67</v>
      </c>
      <c r="P447" s="34">
        <f t="shared" si="53"/>
        <v>58.1934391080618</v>
      </c>
      <c r="Q447" s="35">
        <f t="shared" si="54"/>
        <v>22.8026477612446</v>
      </c>
      <c r="R447" s="35">
        <f t="shared" si="56"/>
        <v>10.1349589245706</v>
      </c>
      <c r="S447" s="33">
        <f t="shared" si="57"/>
        <v>473.78</v>
      </c>
      <c r="T447" s="36">
        <f t="shared" si="58"/>
        <v>2180.26</v>
      </c>
    </row>
    <row r="448" spans="1:20">
      <c r="A448" s="28">
        <v>45676</v>
      </c>
      <c r="B448" s="29" t="s">
        <v>885</v>
      </c>
      <c r="C448" s="29" t="s">
        <v>886</v>
      </c>
      <c r="D448" s="29" t="s">
        <v>887</v>
      </c>
      <c r="E448" s="29" t="s">
        <v>1572</v>
      </c>
      <c r="F448" s="29">
        <f t="shared" si="51"/>
        <v>2025</v>
      </c>
      <c r="G448" s="29" t="str">
        <f t="shared" si="52"/>
        <v>January</v>
      </c>
      <c r="H448" s="30">
        <v>72167</v>
      </c>
      <c r="I448" s="30">
        <v>3593</v>
      </c>
      <c r="J448" s="31">
        <v>602</v>
      </c>
      <c r="K448" s="31">
        <v>351</v>
      </c>
      <c r="L448" s="31">
        <v>197</v>
      </c>
      <c r="M448" s="32">
        <v>70366.31</v>
      </c>
      <c r="N448" s="32">
        <v>1134508.65</v>
      </c>
      <c r="O448" s="33">
        <f t="shared" si="55"/>
        <v>4.98</v>
      </c>
      <c r="P448" s="34">
        <f t="shared" si="53"/>
        <v>116.887558139535</v>
      </c>
      <c r="Q448" s="35">
        <f t="shared" si="54"/>
        <v>16.1228953173756</v>
      </c>
      <c r="R448" s="35">
        <f t="shared" si="56"/>
        <v>19.5842777623156</v>
      </c>
      <c r="S448" s="33">
        <f t="shared" si="57"/>
        <v>975.05</v>
      </c>
      <c r="T448" s="36">
        <f t="shared" si="58"/>
        <v>1512.29</v>
      </c>
    </row>
    <row r="449" spans="1:20">
      <c r="A449" s="37">
        <v>45677</v>
      </c>
      <c r="B449" s="38" t="s">
        <v>885</v>
      </c>
      <c r="C449" s="38" t="s">
        <v>886</v>
      </c>
      <c r="D449" s="38" t="s">
        <v>887</v>
      </c>
      <c r="E449" s="38" t="s">
        <v>1572</v>
      </c>
      <c r="F449" s="38">
        <f t="shared" si="51"/>
        <v>2025</v>
      </c>
      <c r="G449" s="38" t="str">
        <f t="shared" si="52"/>
        <v>January</v>
      </c>
      <c r="H449" s="30">
        <v>239490</v>
      </c>
      <c r="I449" s="30">
        <v>16490</v>
      </c>
      <c r="J449" s="39">
        <v>2821</v>
      </c>
      <c r="K449" s="39">
        <v>1500</v>
      </c>
      <c r="L449" s="39">
        <v>857</v>
      </c>
      <c r="M449" s="40">
        <v>231252.5</v>
      </c>
      <c r="N449" s="40">
        <v>2591070.74</v>
      </c>
      <c r="O449" s="33">
        <f t="shared" si="55"/>
        <v>6.89</v>
      </c>
      <c r="P449" s="34">
        <f t="shared" si="53"/>
        <v>81.9753633463311</v>
      </c>
      <c r="Q449" s="35">
        <f t="shared" si="54"/>
        <v>11.204509097199</v>
      </c>
      <c r="R449" s="35">
        <f t="shared" si="56"/>
        <v>14.0238023044269</v>
      </c>
      <c r="S449" s="33">
        <f t="shared" si="57"/>
        <v>965.6</v>
      </c>
      <c r="T449" s="36">
        <f t="shared" si="58"/>
        <v>1020.45</v>
      </c>
    </row>
    <row r="450" spans="1:20">
      <c r="A450" s="28">
        <v>45678</v>
      </c>
      <c r="B450" s="29" t="s">
        <v>885</v>
      </c>
      <c r="C450" s="29" t="s">
        <v>886</v>
      </c>
      <c r="D450" s="29" t="s">
        <v>887</v>
      </c>
      <c r="E450" s="29" t="s">
        <v>1572</v>
      </c>
      <c r="F450" s="29">
        <f t="shared" ref="F450:F513" si="59">YEAR(A450)</f>
        <v>2025</v>
      </c>
      <c r="G450" s="29" t="str">
        <f t="shared" ref="G450:G513" si="60">TEXT(A450,"mmmm")</f>
        <v>January</v>
      </c>
      <c r="H450" s="30">
        <v>114858</v>
      </c>
      <c r="I450" s="30">
        <v>8995</v>
      </c>
      <c r="J450" s="31">
        <v>2140</v>
      </c>
      <c r="K450" s="31">
        <v>1042</v>
      </c>
      <c r="L450" s="31">
        <v>585</v>
      </c>
      <c r="M450" s="32">
        <v>109054.25</v>
      </c>
      <c r="N450" s="32">
        <v>3742051.97</v>
      </c>
      <c r="O450" s="33">
        <f t="shared" si="55"/>
        <v>7.83</v>
      </c>
      <c r="P450" s="34">
        <f t="shared" ref="P450:P513" si="61">M450/J450</f>
        <v>50.9599299065421</v>
      </c>
      <c r="Q450" s="35">
        <f t="shared" ref="Q450:Q513" si="62">N450/M450</f>
        <v>34.3136738824943</v>
      </c>
      <c r="R450" s="35">
        <f t="shared" si="56"/>
        <v>12.1238743746526</v>
      </c>
      <c r="S450" s="33">
        <f t="shared" si="57"/>
        <v>949.47</v>
      </c>
      <c r="T450" s="36">
        <f t="shared" si="58"/>
        <v>3331.37</v>
      </c>
    </row>
    <row r="451" spans="1:20">
      <c r="A451" s="37">
        <v>45679</v>
      </c>
      <c r="B451" s="38" t="s">
        <v>885</v>
      </c>
      <c r="C451" s="38" t="s">
        <v>886</v>
      </c>
      <c r="D451" s="38" t="s">
        <v>887</v>
      </c>
      <c r="E451" s="38" t="s">
        <v>1573</v>
      </c>
      <c r="F451" s="38">
        <f t="shared" si="59"/>
        <v>2025</v>
      </c>
      <c r="G451" s="38" t="str">
        <f t="shared" si="60"/>
        <v>January</v>
      </c>
      <c r="H451" s="30">
        <v>287469</v>
      </c>
      <c r="I451" s="30">
        <v>15650</v>
      </c>
      <c r="J451" s="39">
        <v>3709</v>
      </c>
      <c r="K451" s="39">
        <v>1899</v>
      </c>
      <c r="L451" s="39">
        <v>784</v>
      </c>
      <c r="M451" s="40">
        <v>253282.64</v>
      </c>
      <c r="N451" s="40">
        <v>2874025.11</v>
      </c>
      <c r="O451" s="33">
        <f t="shared" ref="O451:O514" si="63">ROUND(I451/H451*100,2)</f>
        <v>5.44</v>
      </c>
      <c r="P451" s="34">
        <f t="shared" si="61"/>
        <v>68.2886600161769</v>
      </c>
      <c r="Q451" s="35">
        <f t="shared" si="62"/>
        <v>11.3471065762738</v>
      </c>
      <c r="R451" s="35">
        <f t="shared" si="56"/>
        <v>16.1841942492013</v>
      </c>
      <c r="S451" s="33">
        <f t="shared" si="57"/>
        <v>881.08</v>
      </c>
      <c r="T451" s="36">
        <f t="shared" si="58"/>
        <v>1034.71</v>
      </c>
    </row>
    <row r="452" spans="1:20">
      <c r="A452" s="28">
        <v>45680</v>
      </c>
      <c r="B452" s="29" t="s">
        <v>885</v>
      </c>
      <c r="C452" s="29" t="s">
        <v>886</v>
      </c>
      <c r="D452" s="29" t="s">
        <v>887</v>
      </c>
      <c r="E452" s="29" t="s">
        <v>1572</v>
      </c>
      <c r="F452" s="29">
        <f t="shared" si="59"/>
        <v>2025</v>
      </c>
      <c r="G452" s="29" t="str">
        <f t="shared" si="60"/>
        <v>January</v>
      </c>
      <c r="H452" s="30">
        <v>160382</v>
      </c>
      <c r="I452" s="30">
        <v>12822</v>
      </c>
      <c r="J452" s="31">
        <v>2675</v>
      </c>
      <c r="K452" s="31">
        <v>1467</v>
      </c>
      <c r="L452" s="31">
        <v>670</v>
      </c>
      <c r="M452" s="32">
        <v>98850.69</v>
      </c>
      <c r="N452" s="32">
        <v>3011981.4</v>
      </c>
      <c r="O452" s="33">
        <f t="shared" si="63"/>
        <v>7.99</v>
      </c>
      <c r="P452" s="34">
        <f t="shared" si="61"/>
        <v>36.9535289719626</v>
      </c>
      <c r="Q452" s="35">
        <f t="shared" si="62"/>
        <v>30.4700088588152</v>
      </c>
      <c r="R452" s="35">
        <f t="shared" si="56"/>
        <v>7.70945952269537</v>
      </c>
      <c r="S452" s="33">
        <f t="shared" si="57"/>
        <v>616.35</v>
      </c>
      <c r="T452" s="36">
        <f t="shared" si="58"/>
        <v>2947</v>
      </c>
    </row>
    <row r="453" spans="1:20">
      <c r="A453" s="37">
        <v>45681</v>
      </c>
      <c r="B453" s="38" t="s">
        <v>885</v>
      </c>
      <c r="C453" s="38" t="s">
        <v>886</v>
      </c>
      <c r="D453" s="38" t="s">
        <v>887</v>
      </c>
      <c r="E453" s="38" t="s">
        <v>1572</v>
      </c>
      <c r="F453" s="38">
        <f t="shared" si="59"/>
        <v>2025</v>
      </c>
      <c r="G453" s="38" t="str">
        <f t="shared" si="60"/>
        <v>January</v>
      </c>
      <c r="H453" s="30">
        <v>87341</v>
      </c>
      <c r="I453" s="30">
        <v>6016</v>
      </c>
      <c r="J453" s="39">
        <v>1290</v>
      </c>
      <c r="K453" s="39">
        <v>669</v>
      </c>
      <c r="L453" s="39">
        <v>315</v>
      </c>
      <c r="M453" s="40">
        <v>35138.72</v>
      </c>
      <c r="N453" s="40">
        <v>2092169.31</v>
      </c>
      <c r="O453" s="33">
        <f t="shared" si="63"/>
        <v>6.89</v>
      </c>
      <c r="P453" s="34">
        <f t="shared" si="61"/>
        <v>27.2393178294574</v>
      </c>
      <c r="Q453" s="35">
        <f t="shared" si="62"/>
        <v>59.5402823438076</v>
      </c>
      <c r="R453" s="35">
        <f t="shared" si="56"/>
        <v>5.84087765957447</v>
      </c>
      <c r="S453" s="33">
        <f t="shared" si="57"/>
        <v>402.32</v>
      </c>
      <c r="T453" s="36">
        <f t="shared" si="58"/>
        <v>5854.03</v>
      </c>
    </row>
    <row r="454" spans="1:20">
      <c r="A454" s="28">
        <v>45682</v>
      </c>
      <c r="B454" s="29" t="s">
        <v>885</v>
      </c>
      <c r="C454" s="29" t="s">
        <v>886</v>
      </c>
      <c r="D454" s="29" t="s">
        <v>887</v>
      </c>
      <c r="E454" s="29" t="s">
        <v>1572</v>
      </c>
      <c r="F454" s="29">
        <f t="shared" si="59"/>
        <v>2025</v>
      </c>
      <c r="G454" s="29" t="str">
        <f t="shared" si="60"/>
        <v>January</v>
      </c>
      <c r="H454" s="30">
        <v>184938</v>
      </c>
      <c r="I454" s="30">
        <v>6118</v>
      </c>
      <c r="J454" s="31">
        <v>1450</v>
      </c>
      <c r="K454" s="31">
        <v>865</v>
      </c>
      <c r="L454" s="31">
        <v>478</v>
      </c>
      <c r="M454" s="32">
        <v>132226.89</v>
      </c>
      <c r="N454" s="32">
        <v>1439934.34</v>
      </c>
      <c r="O454" s="33">
        <f t="shared" si="63"/>
        <v>3.31</v>
      </c>
      <c r="P454" s="34">
        <f t="shared" si="61"/>
        <v>91.1909586206897</v>
      </c>
      <c r="Q454" s="35">
        <f t="shared" si="62"/>
        <v>10.8898752742351</v>
      </c>
      <c r="R454" s="35">
        <f t="shared" si="56"/>
        <v>21.6127639751553</v>
      </c>
      <c r="S454" s="33">
        <f t="shared" si="57"/>
        <v>714.98</v>
      </c>
      <c r="T454" s="36">
        <f t="shared" si="58"/>
        <v>988.99</v>
      </c>
    </row>
    <row r="455" spans="1:20">
      <c r="A455" s="37">
        <v>45683</v>
      </c>
      <c r="B455" s="38" t="s">
        <v>885</v>
      </c>
      <c r="C455" s="38" t="s">
        <v>886</v>
      </c>
      <c r="D455" s="38" t="s">
        <v>887</v>
      </c>
      <c r="E455" s="38" t="s">
        <v>1572</v>
      </c>
      <c r="F455" s="38">
        <f t="shared" si="59"/>
        <v>2025</v>
      </c>
      <c r="G455" s="38" t="str">
        <f t="shared" si="60"/>
        <v>January</v>
      </c>
      <c r="H455" s="30">
        <v>63670</v>
      </c>
      <c r="I455" s="30">
        <v>3261</v>
      </c>
      <c r="J455" s="39">
        <v>779</v>
      </c>
      <c r="K455" s="39">
        <v>463</v>
      </c>
      <c r="L455" s="39">
        <v>260</v>
      </c>
      <c r="M455" s="40">
        <v>57921.04</v>
      </c>
      <c r="N455" s="40">
        <v>1810450.96</v>
      </c>
      <c r="O455" s="33">
        <f t="shared" si="63"/>
        <v>5.12</v>
      </c>
      <c r="P455" s="34">
        <f t="shared" si="61"/>
        <v>74.3530680359435</v>
      </c>
      <c r="Q455" s="35">
        <f t="shared" si="62"/>
        <v>31.2572246630931</v>
      </c>
      <c r="R455" s="35">
        <f t="shared" si="56"/>
        <v>17.7617417969948</v>
      </c>
      <c r="S455" s="33">
        <f t="shared" si="57"/>
        <v>909.71</v>
      </c>
      <c r="T455" s="36">
        <f t="shared" si="58"/>
        <v>3025.72</v>
      </c>
    </row>
    <row r="456" spans="1:20">
      <c r="A456" s="28">
        <v>45684</v>
      </c>
      <c r="B456" s="29" t="s">
        <v>885</v>
      </c>
      <c r="C456" s="29" t="s">
        <v>886</v>
      </c>
      <c r="D456" s="29" t="s">
        <v>887</v>
      </c>
      <c r="E456" s="29" t="s">
        <v>1571</v>
      </c>
      <c r="F456" s="29">
        <f t="shared" si="59"/>
        <v>2025</v>
      </c>
      <c r="G456" s="29" t="str">
        <f t="shared" si="60"/>
        <v>January</v>
      </c>
      <c r="H456" s="30">
        <v>182711</v>
      </c>
      <c r="I456" s="30">
        <v>13431</v>
      </c>
      <c r="J456" s="31">
        <v>2341</v>
      </c>
      <c r="K456" s="31">
        <v>1427</v>
      </c>
      <c r="L456" s="31">
        <v>816</v>
      </c>
      <c r="M456" s="32">
        <v>123017.03</v>
      </c>
      <c r="N456" s="32">
        <v>5356819.38</v>
      </c>
      <c r="O456" s="33">
        <f t="shared" si="63"/>
        <v>7.35</v>
      </c>
      <c r="P456" s="34">
        <f t="shared" si="61"/>
        <v>52.54892353695</v>
      </c>
      <c r="Q456" s="35">
        <f t="shared" si="62"/>
        <v>43.5453479896239</v>
      </c>
      <c r="R456" s="35">
        <f t="shared" si="56"/>
        <v>9.15918621100439</v>
      </c>
      <c r="S456" s="33">
        <f t="shared" si="57"/>
        <v>673.29</v>
      </c>
      <c r="T456" s="36">
        <f t="shared" si="58"/>
        <v>4254.53</v>
      </c>
    </row>
    <row r="457" spans="1:20">
      <c r="A457" s="37">
        <v>45685</v>
      </c>
      <c r="B457" s="38" t="s">
        <v>885</v>
      </c>
      <c r="C457" s="38" t="s">
        <v>886</v>
      </c>
      <c r="D457" s="38" t="s">
        <v>887</v>
      </c>
      <c r="E457" s="38" t="s">
        <v>1571</v>
      </c>
      <c r="F457" s="38">
        <f t="shared" si="59"/>
        <v>2025</v>
      </c>
      <c r="G457" s="38" t="str">
        <f t="shared" si="60"/>
        <v>January</v>
      </c>
      <c r="H457" s="30">
        <v>228212</v>
      </c>
      <c r="I457" s="30">
        <v>18002</v>
      </c>
      <c r="J457" s="39">
        <v>4371</v>
      </c>
      <c r="K457" s="39">
        <v>2526</v>
      </c>
      <c r="L457" s="39">
        <v>1404</v>
      </c>
      <c r="M457" s="40">
        <v>140065.3</v>
      </c>
      <c r="N457" s="40">
        <v>6510695.7</v>
      </c>
      <c r="O457" s="33">
        <f t="shared" si="63"/>
        <v>7.89</v>
      </c>
      <c r="P457" s="34">
        <f t="shared" si="61"/>
        <v>32.044223289865</v>
      </c>
      <c r="Q457" s="35">
        <f t="shared" si="62"/>
        <v>46.4832881520262</v>
      </c>
      <c r="R457" s="35">
        <f t="shared" si="56"/>
        <v>7.78054105099433</v>
      </c>
      <c r="S457" s="33">
        <f t="shared" si="57"/>
        <v>613.75</v>
      </c>
      <c r="T457" s="36">
        <f t="shared" si="58"/>
        <v>4548.33</v>
      </c>
    </row>
    <row r="458" spans="1:20">
      <c r="A458" s="28">
        <v>45686</v>
      </c>
      <c r="B458" s="29" t="s">
        <v>885</v>
      </c>
      <c r="C458" s="29" t="s">
        <v>886</v>
      </c>
      <c r="D458" s="29" t="s">
        <v>887</v>
      </c>
      <c r="E458" s="29" t="s">
        <v>1573</v>
      </c>
      <c r="F458" s="29">
        <f t="shared" si="59"/>
        <v>2025</v>
      </c>
      <c r="G458" s="29" t="str">
        <f t="shared" si="60"/>
        <v>January</v>
      </c>
      <c r="H458" s="30">
        <v>258910</v>
      </c>
      <c r="I458" s="30">
        <v>20306</v>
      </c>
      <c r="J458" s="31">
        <v>3105</v>
      </c>
      <c r="K458" s="31">
        <v>1415</v>
      </c>
      <c r="L458" s="31">
        <v>615</v>
      </c>
      <c r="M458" s="32">
        <v>196117.34</v>
      </c>
      <c r="N458" s="32">
        <v>4520782.34</v>
      </c>
      <c r="O458" s="33">
        <f t="shared" si="63"/>
        <v>7.84</v>
      </c>
      <c r="P458" s="34">
        <f t="shared" si="61"/>
        <v>63.1617842190016</v>
      </c>
      <c r="Q458" s="35">
        <f t="shared" si="62"/>
        <v>23.0514157493672</v>
      </c>
      <c r="R458" s="35">
        <f t="shared" si="56"/>
        <v>9.65809809908401</v>
      </c>
      <c r="S458" s="33">
        <f t="shared" si="57"/>
        <v>757.47</v>
      </c>
      <c r="T458" s="36">
        <f t="shared" si="58"/>
        <v>2205.14</v>
      </c>
    </row>
    <row r="459" spans="1:20">
      <c r="A459" s="37">
        <v>45687</v>
      </c>
      <c r="B459" s="38" t="s">
        <v>885</v>
      </c>
      <c r="C459" s="38" t="s">
        <v>886</v>
      </c>
      <c r="D459" s="38" t="s">
        <v>887</v>
      </c>
      <c r="E459" s="38" t="s">
        <v>1571</v>
      </c>
      <c r="F459" s="38">
        <f t="shared" si="59"/>
        <v>2025</v>
      </c>
      <c r="G459" s="38" t="str">
        <f t="shared" si="60"/>
        <v>January</v>
      </c>
      <c r="H459" s="30">
        <v>90143</v>
      </c>
      <c r="I459" s="30">
        <v>2803</v>
      </c>
      <c r="J459" s="39">
        <v>540</v>
      </c>
      <c r="K459" s="39">
        <v>314</v>
      </c>
      <c r="L459" s="39">
        <v>175</v>
      </c>
      <c r="M459" s="40">
        <v>40656.59</v>
      </c>
      <c r="N459" s="40">
        <v>1007449.12</v>
      </c>
      <c r="O459" s="33">
        <f t="shared" si="63"/>
        <v>3.11</v>
      </c>
      <c r="P459" s="34">
        <f t="shared" si="61"/>
        <v>75.2899814814815</v>
      </c>
      <c r="Q459" s="35">
        <f t="shared" si="62"/>
        <v>24.7794790463244</v>
      </c>
      <c r="R459" s="35">
        <f t="shared" si="56"/>
        <v>14.5046699964324</v>
      </c>
      <c r="S459" s="33">
        <f t="shared" si="57"/>
        <v>451.02</v>
      </c>
      <c r="T459" s="36">
        <f t="shared" si="58"/>
        <v>2377.95</v>
      </c>
    </row>
    <row r="460" spans="1:20">
      <c r="A460" s="28">
        <v>45688</v>
      </c>
      <c r="B460" s="29" t="s">
        <v>885</v>
      </c>
      <c r="C460" s="29" t="s">
        <v>886</v>
      </c>
      <c r="D460" s="29" t="s">
        <v>887</v>
      </c>
      <c r="E460" s="29" t="s">
        <v>1572</v>
      </c>
      <c r="F460" s="29">
        <f t="shared" si="59"/>
        <v>2025</v>
      </c>
      <c r="G460" s="29" t="str">
        <f t="shared" si="60"/>
        <v>January</v>
      </c>
      <c r="H460" s="30">
        <v>85144</v>
      </c>
      <c r="I460" s="30">
        <v>3382</v>
      </c>
      <c r="J460" s="31">
        <v>587</v>
      </c>
      <c r="K460" s="31">
        <v>296</v>
      </c>
      <c r="L460" s="31">
        <v>155</v>
      </c>
      <c r="M460" s="32">
        <v>42903.25</v>
      </c>
      <c r="N460" s="32">
        <v>564840.05</v>
      </c>
      <c r="O460" s="33">
        <f t="shared" si="63"/>
        <v>3.97</v>
      </c>
      <c r="P460" s="34">
        <f t="shared" si="61"/>
        <v>73.0890119250426</v>
      </c>
      <c r="Q460" s="35">
        <f t="shared" si="62"/>
        <v>13.1654373503173</v>
      </c>
      <c r="R460" s="35">
        <f t="shared" si="56"/>
        <v>12.6857628622117</v>
      </c>
      <c r="S460" s="33">
        <f t="shared" si="57"/>
        <v>503.89</v>
      </c>
      <c r="T460" s="36">
        <f t="shared" si="58"/>
        <v>1216.54</v>
      </c>
    </row>
    <row r="461" spans="1:20">
      <c r="A461" s="37">
        <v>45659</v>
      </c>
      <c r="B461" s="38" t="s">
        <v>885</v>
      </c>
      <c r="C461" s="38" t="s">
        <v>886</v>
      </c>
      <c r="D461" s="38" t="s">
        <v>887</v>
      </c>
      <c r="E461" s="38" t="s">
        <v>1573</v>
      </c>
      <c r="F461" s="38">
        <f t="shared" si="59"/>
        <v>2025</v>
      </c>
      <c r="G461" s="38" t="str">
        <f t="shared" si="60"/>
        <v>January</v>
      </c>
      <c r="H461" s="30">
        <v>247492</v>
      </c>
      <c r="I461" s="30">
        <v>18132</v>
      </c>
      <c r="J461" s="39">
        <v>4384</v>
      </c>
      <c r="K461" s="39">
        <v>2710</v>
      </c>
      <c r="L461" s="39">
        <v>1613</v>
      </c>
      <c r="M461" s="40">
        <v>189072.19</v>
      </c>
      <c r="N461" s="40">
        <v>6367802.47</v>
      </c>
      <c r="O461" s="33">
        <f t="shared" si="63"/>
        <v>7.33</v>
      </c>
      <c r="P461" s="34">
        <f t="shared" si="61"/>
        <v>43.1277805656934</v>
      </c>
      <c r="Q461" s="35">
        <f t="shared" si="62"/>
        <v>33.6792125272363</v>
      </c>
      <c r="R461" s="35">
        <f t="shared" si="56"/>
        <v>10.4275419148467</v>
      </c>
      <c r="S461" s="33">
        <f t="shared" si="57"/>
        <v>763.95</v>
      </c>
      <c r="T461" s="36">
        <f t="shared" si="58"/>
        <v>3267.92</v>
      </c>
    </row>
    <row r="462" spans="1:20">
      <c r="A462" s="28">
        <v>45690</v>
      </c>
      <c r="B462" s="29" t="s">
        <v>885</v>
      </c>
      <c r="C462" s="29" t="s">
        <v>886</v>
      </c>
      <c r="D462" s="29" t="s">
        <v>887</v>
      </c>
      <c r="E462" s="29" t="s">
        <v>1573</v>
      </c>
      <c r="F462" s="29">
        <f t="shared" si="59"/>
        <v>2025</v>
      </c>
      <c r="G462" s="29" t="str">
        <f t="shared" si="60"/>
        <v>February</v>
      </c>
      <c r="H462" s="30">
        <v>131901</v>
      </c>
      <c r="I462" s="30">
        <v>8460</v>
      </c>
      <c r="J462" s="31">
        <v>1385</v>
      </c>
      <c r="K462" s="31">
        <v>816</v>
      </c>
      <c r="L462" s="31">
        <v>412</v>
      </c>
      <c r="M462" s="32">
        <v>123943.03</v>
      </c>
      <c r="N462" s="32">
        <v>2536624.06</v>
      </c>
      <c r="O462" s="33">
        <f t="shared" si="63"/>
        <v>6.41</v>
      </c>
      <c r="P462" s="34">
        <f t="shared" si="61"/>
        <v>89.4895523465704</v>
      </c>
      <c r="Q462" s="35">
        <f t="shared" si="62"/>
        <v>20.4660484740449</v>
      </c>
      <c r="R462" s="35">
        <f t="shared" si="56"/>
        <v>14.6504763593381</v>
      </c>
      <c r="S462" s="33">
        <f t="shared" si="57"/>
        <v>939.67</v>
      </c>
      <c r="T462" s="36">
        <f t="shared" si="58"/>
        <v>1946.6</v>
      </c>
    </row>
    <row r="463" spans="1:20">
      <c r="A463" s="37">
        <v>45718</v>
      </c>
      <c r="B463" s="38" t="s">
        <v>885</v>
      </c>
      <c r="C463" s="38" t="s">
        <v>886</v>
      </c>
      <c r="D463" s="38" t="s">
        <v>887</v>
      </c>
      <c r="E463" s="38" t="s">
        <v>1573</v>
      </c>
      <c r="F463" s="38">
        <f t="shared" si="59"/>
        <v>2025</v>
      </c>
      <c r="G463" s="38" t="str">
        <f t="shared" si="60"/>
        <v>March</v>
      </c>
      <c r="H463" s="30">
        <v>228466</v>
      </c>
      <c r="I463" s="30">
        <v>8425</v>
      </c>
      <c r="J463" s="39">
        <v>1286</v>
      </c>
      <c r="K463" s="39">
        <v>782</v>
      </c>
      <c r="L463" s="39">
        <v>385</v>
      </c>
      <c r="M463" s="40">
        <v>169210.25</v>
      </c>
      <c r="N463" s="40">
        <v>1194707.96</v>
      </c>
      <c r="O463" s="33">
        <f t="shared" si="63"/>
        <v>3.69</v>
      </c>
      <c r="P463" s="34">
        <f t="shared" si="61"/>
        <v>131.578732503888</v>
      </c>
      <c r="Q463" s="35">
        <f t="shared" si="62"/>
        <v>7.06049403035573</v>
      </c>
      <c r="R463" s="35">
        <f t="shared" si="56"/>
        <v>20.0843026706231</v>
      </c>
      <c r="S463" s="33">
        <f t="shared" si="57"/>
        <v>740.64</v>
      </c>
      <c r="T463" s="36">
        <f t="shared" si="58"/>
        <v>606.05</v>
      </c>
    </row>
    <row r="464" spans="1:20">
      <c r="A464" s="28">
        <v>45749</v>
      </c>
      <c r="B464" s="29" t="s">
        <v>885</v>
      </c>
      <c r="C464" s="29" t="s">
        <v>886</v>
      </c>
      <c r="D464" s="29" t="s">
        <v>887</v>
      </c>
      <c r="E464" s="29" t="s">
        <v>1571</v>
      </c>
      <c r="F464" s="29">
        <f t="shared" si="59"/>
        <v>2025</v>
      </c>
      <c r="G464" s="29" t="str">
        <f t="shared" si="60"/>
        <v>April</v>
      </c>
      <c r="H464" s="30">
        <v>224736</v>
      </c>
      <c r="I464" s="30">
        <v>14914</v>
      </c>
      <c r="J464" s="31">
        <v>3722</v>
      </c>
      <c r="K464" s="31">
        <v>2167</v>
      </c>
      <c r="L464" s="31">
        <v>1264</v>
      </c>
      <c r="M464" s="32">
        <v>217968.09</v>
      </c>
      <c r="N464" s="32">
        <v>3957313.4</v>
      </c>
      <c r="O464" s="33">
        <f t="shared" si="63"/>
        <v>6.64</v>
      </c>
      <c r="P464" s="34">
        <f t="shared" si="61"/>
        <v>58.5620875873186</v>
      </c>
      <c r="Q464" s="35">
        <f t="shared" si="62"/>
        <v>18.1554712893984</v>
      </c>
      <c r="R464" s="35">
        <f t="shared" si="56"/>
        <v>14.6149986589781</v>
      </c>
      <c r="S464" s="33">
        <f t="shared" si="57"/>
        <v>969.89</v>
      </c>
      <c r="T464" s="36">
        <f t="shared" si="58"/>
        <v>1715.55</v>
      </c>
    </row>
    <row r="465" spans="1:20">
      <c r="A465" s="37">
        <v>45779</v>
      </c>
      <c r="B465" s="38" t="s">
        <v>885</v>
      </c>
      <c r="C465" s="38" t="s">
        <v>886</v>
      </c>
      <c r="D465" s="38" t="s">
        <v>887</v>
      </c>
      <c r="E465" s="38" t="s">
        <v>1573</v>
      </c>
      <c r="F465" s="38">
        <f t="shared" si="59"/>
        <v>2025</v>
      </c>
      <c r="G465" s="38" t="str">
        <f t="shared" si="60"/>
        <v>May</v>
      </c>
      <c r="H465" s="30">
        <v>169022</v>
      </c>
      <c r="I465" s="30">
        <v>13204</v>
      </c>
      <c r="J465" s="39">
        <v>3261</v>
      </c>
      <c r="K465" s="39">
        <v>1590</v>
      </c>
      <c r="L465" s="39">
        <v>892</v>
      </c>
      <c r="M465" s="40">
        <v>147597.12</v>
      </c>
      <c r="N465" s="40">
        <v>2727577.06</v>
      </c>
      <c r="O465" s="33">
        <f t="shared" si="63"/>
        <v>7.81</v>
      </c>
      <c r="P465" s="34">
        <f t="shared" si="61"/>
        <v>45.2613063477461</v>
      </c>
      <c r="Q465" s="35">
        <f t="shared" si="62"/>
        <v>18.4798799597174</v>
      </c>
      <c r="R465" s="35">
        <f t="shared" si="56"/>
        <v>11.1782126628294</v>
      </c>
      <c r="S465" s="33">
        <f t="shared" si="57"/>
        <v>873.24</v>
      </c>
      <c r="T465" s="36">
        <f t="shared" si="58"/>
        <v>1747.99</v>
      </c>
    </row>
    <row r="466" spans="1:20">
      <c r="A466" s="28">
        <v>45810</v>
      </c>
      <c r="B466" s="29" t="s">
        <v>885</v>
      </c>
      <c r="C466" s="29" t="s">
        <v>886</v>
      </c>
      <c r="D466" s="29" t="s">
        <v>887</v>
      </c>
      <c r="E466" s="29" t="s">
        <v>1571</v>
      </c>
      <c r="F466" s="29">
        <f t="shared" si="59"/>
        <v>2025</v>
      </c>
      <c r="G466" s="29" t="str">
        <f t="shared" si="60"/>
        <v>June</v>
      </c>
      <c r="H466" s="30">
        <v>171440</v>
      </c>
      <c r="I466" s="30">
        <v>12089</v>
      </c>
      <c r="J466" s="31">
        <v>2871</v>
      </c>
      <c r="K466" s="31">
        <v>1782</v>
      </c>
      <c r="L466" s="31">
        <v>734</v>
      </c>
      <c r="M466" s="32">
        <v>118811.98</v>
      </c>
      <c r="N466" s="32">
        <v>2681533.2</v>
      </c>
      <c r="O466" s="33">
        <f t="shared" si="63"/>
        <v>7.05</v>
      </c>
      <c r="P466" s="34">
        <f t="shared" si="61"/>
        <v>41.3834831069314</v>
      </c>
      <c r="Q466" s="35">
        <f t="shared" si="62"/>
        <v>22.5695523296556</v>
      </c>
      <c r="R466" s="35">
        <f t="shared" si="56"/>
        <v>9.82810654313839</v>
      </c>
      <c r="S466" s="33">
        <f t="shared" si="57"/>
        <v>693.02</v>
      </c>
      <c r="T466" s="36">
        <f t="shared" si="58"/>
        <v>2156.96</v>
      </c>
    </row>
    <row r="467" spans="1:20">
      <c r="A467" s="37">
        <v>45840</v>
      </c>
      <c r="B467" s="38" t="s">
        <v>885</v>
      </c>
      <c r="C467" s="38" t="s">
        <v>886</v>
      </c>
      <c r="D467" s="38" t="s">
        <v>887</v>
      </c>
      <c r="E467" s="38" t="s">
        <v>1573</v>
      </c>
      <c r="F467" s="38">
        <f t="shared" si="59"/>
        <v>2025</v>
      </c>
      <c r="G467" s="38" t="str">
        <f t="shared" si="60"/>
        <v>July</v>
      </c>
      <c r="H467" s="30">
        <v>157459</v>
      </c>
      <c r="I467" s="30">
        <v>9897</v>
      </c>
      <c r="J467" s="39">
        <v>2312</v>
      </c>
      <c r="K467" s="39">
        <v>1209</v>
      </c>
      <c r="L467" s="39">
        <v>650</v>
      </c>
      <c r="M467" s="40">
        <v>142696.95</v>
      </c>
      <c r="N467" s="40">
        <v>2825372.26</v>
      </c>
      <c r="O467" s="33">
        <f t="shared" si="63"/>
        <v>6.29</v>
      </c>
      <c r="P467" s="34">
        <f t="shared" si="61"/>
        <v>61.720134083045</v>
      </c>
      <c r="Q467" s="35">
        <f t="shared" si="62"/>
        <v>19.7998083350765</v>
      </c>
      <c r="R467" s="35">
        <f t="shared" si="56"/>
        <v>14.4182024856017</v>
      </c>
      <c r="S467" s="33">
        <f t="shared" si="57"/>
        <v>906.25</v>
      </c>
      <c r="T467" s="36">
        <f t="shared" si="58"/>
        <v>1879.98</v>
      </c>
    </row>
    <row r="468" spans="1:20">
      <c r="A468" s="28">
        <v>45871</v>
      </c>
      <c r="B468" s="29" t="s">
        <v>885</v>
      </c>
      <c r="C468" s="29" t="s">
        <v>886</v>
      </c>
      <c r="D468" s="29" t="s">
        <v>887</v>
      </c>
      <c r="E468" s="29" t="s">
        <v>1572</v>
      </c>
      <c r="F468" s="29">
        <f t="shared" si="59"/>
        <v>2025</v>
      </c>
      <c r="G468" s="29" t="str">
        <f t="shared" si="60"/>
        <v>August</v>
      </c>
      <c r="H468" s="30">
        <v>65423</v>
      </c>
      <c r="I468" s="30">
        <v>3275</v>
      </c>
      <c r="J468" s="31">
        <v>709</v>
      </c>
      <c r="K468" s="31">
        <v>417</v>
      </c>
      <c r="L468" s="31">
        <v>179</v>
      </c>
      <c r="M468" s="32">
        <v>31628.24</v>
      </c>
      <c r="N468" s="32">
        <v>642830.89</v>
      </c>
      <c r="O468" s="33">
        <f t="shared" si="63"/>
        <v>5.01</v>
      </c>
      <c r="P468" s="34">
        <f t="shared" si="61"/>
        <v>44.6096473906911</v>
      </c>
      <c r="Q468" s="35">
        <f t="shared" si="62"/>
        <v>20.3245861925924</v>
      </c>
      <c r="R468" s="35">
        <f t="shared" si="56"/>
        <v>9.65747786259542</v>
      </c>
      <c r="S468" s="33">
        <f t="shared" si="57"/>
        <v>483.44</v>
      </c>
      <c r="T468" s="36">
        <f t="shared" si="58"/>
        <v>1932.46</v>
      </c>
    </row>
    <row r="469" spans="1:20">
      <c r="A469" s="37">
        <v>45902</v>
      </c>
      <c r="B469" s="38" t="s">
        <v>885</v>
      </c>
      <c r="C469" s="38" t="s">
        <v>886</v>
      </c>
      <c r="D469" s="38" t="s">
        <v>887</v>
      </c>
      <c r="E469" s="38" t="s">
        <v>1573</v>
      </c>
      <c r="F469" s="38">
        <f t="shared" si="59"/>
        <v>2025</v>
      </c>
      <c r="G469" s="38" t="str">
        <f t="shared" si="60"/>
        <v>September</v>
      </c>
      <c r="H469" s="30">
        <v>194699</v>
      </c>
      <c r="I469" s="30">
        <v>6867</v>
      </c>
      <c r="J469" s="39">
        <v>1321</v>
      </c>
      <c r="K469" s="39">
        <v>634</v>
      </c>
      <c r="L469" s="39">
        <v>310</v>
      </c>
      <c r="M469" s="40">
        <v>138099.75</v>
      </c>
      <c r="N469" s="40">
        <v>2251050.92</v>
      </c>
      <c r="O469" s="33">
        <f t="shared" si="63"/>
        <v>3.53</v>
      </c>
      <c r="P469" s="34">
        <f t="shared" si="61"/>
        <v>104.541824375473</v>
      </c>
      <c r="Q469" s="35">
        <f t="shared" si="62"/>
        <v>16.3001809923624</v>
      </c>
      <c r="R469" s="35">
        <f t="shared" si="56"/>
        <v>20.1106378331149</v>
      </c>
      <c r="S469" s="33">
        <f t="shared" si="57"/>
        <v>709.3</v>
      </c>
      <c r="T469" s="36">
        <f t="shared" si="58"/>
        <v>1530.02</v>
      </c>
    </row>
    <row r="470" spans="1:20">
      <c r="A470" s="28">
        <v>45932</v>
      </c>
      <c r="B470" s="29" t="s">
        <v>885</v>
      </c>
      <c r="C470" s="29" t="s">
        <v>886</v>
      </c>
      <c r="D470" s="29" t="s">
        <v>887</v>
      </c>
      <c r="E470" s="29" t="s">
        <v>1571</v>
      </c>
      <c r="F470" s="29">
        <f t="shared" si="59"/>
        <v>2025</v>
      </c>
      <c r="G470" s="29" t="str">
        <f t="shared" si="60"/>
        <v>October</v>
      </c>
      <c r="H470" s="30">
        <v>258921</v>
      </c>
      <c r="I470" s="30">
        <v>15451</v>
      </c>
      <c r="J470" s="31">
        <v>3155</v>
      </c>
      <c r="K470" s="31">
        <v>1580</v>
      </c>
      <c r="L470" s="31">
        <v>846</v>
      </c>
      <c r="M470" s="32">
        <v>123848.52</v>
      </c>
      <c r="N470" s="32">
        <v>2990116.79</v>
      </c>
      <c r="O470" s="33">
        <f t="shared" si="63"/>
        <v>5.97</v>
      </c>
      <c r="P470" s="34">
        <f t="shared" si="61"/>
        <v>39.2546814580032</v>
      </c>
      <c r="Q470" s="35">
        <f t="shared" si="62"/>
        <v>24.1433388949662</v>
      </c>
      <c r="R470" s="35">
        <f t="shared" si="56"/>
        <v>8.01556662999159</v>
      </c>
      <c r="S470" s="33">
        <f t="shared" si="57"/>
        <v>478.33</v>
      </c>
      <c r="T470" s="36">
        <f t="shared" si="58"/>
        <v>2314.33</v>
      </c>
    </row>
    <row r="471" spans="1:20">
      <c r="A471" s="37">
        <v>45963</v>
      </c>
      <c r="B471" s="38" t="s">
        <v>885</v>
      </c>
      <c r="C471" s="38" t="s">
        <v>886</v>
      </c>
      <c r="D471" s="38" t="s">
        <v>887</v>
      </c>
      <c r="E471" s="38" t="s">
        <v>1572</v>
      </c>
      <c r="F471" s="38">
        <f t="shared" si="59"/>
        <v>2025</v>
      </c>
      <c r="G471" s="38" t="str">
        <f t="shared" si="60"/>
        <v>November</v>
      </c>
      <c r="H471" s="30">
        <v>127232</v>
      </c>
      <c r="I471" s="30">
        <v>9034</v>
      </c>
      <c r="J471" s="39">
        <v>1736</v>
      </c>
      <c r="K471" s="39">
        <v>1112</v>
      </c>
      <c r="L471" s="39">
        <v>517</v>
      </c>
      <c r="M471" s="40">
        <v>111616.5</v>
      </c>
      <c r="N471" s="40">
        <v>3367905.35</v>
      </c>
      <c r="O471" s="33">
        <f t="shared" si="63"/>
        <v>7.1</v>
      </c>
      <c r="P471" s="34">
        <f t="shared" si="61"/>
        <v>64.2952188940092</v>
      </c>
      <c r="Q471" s="35">
        <f t="shared" si="62"/>
        <v>30.1739021560432</v>
      </c>
      <c r="R471" s="35">
        <f t="shared" si="56"/>
        <v>12.355158290901</v>
      </c>
      <c r="S471" s="33">
        <f t="shared" si="57"/>
        <v>877.27</v>
      </c>
      <c r="T471" s="36">
        <f t="shared" si="58"/>
        <v>2917.39</v>
      </c>
    </row>
    <row r="472" spans="1:20">
      <c r="A472" s="28">
        <v>45993</v>
      </c>
      <c r="B472" s="29" t="s">
        <v>885</v>
      </c>
      <c r="C472" s="29" t="s">
        <v>886</v>
      </c>
      <c r="D472" s="29" t="s">
        <v>887</v>
      </c>
      <c r="E472" s="29" t="s">
        <v>1571</v>
      </c>
      <c r="F472" s="29">
        <f t="shared" si="59"/>
        <v>2025</v>
      </c>
      <c r="G472" s="29" t="str">
        <f t="shared" si="60"/>
        <v>December</v>
      </c>
      <c r="H472" s="30">
        <v>183701</v>
      </c>
      <c r="I472" s="30">
        <v>10838</v>
      </c>
      <c r="J472" s="31">
        <v>1745</v>
      </c>
      <c r="K472" s="31">
        <v>807</v>
      </c>
      <c r="L472" s="31">
        <v>469</v>
      </c>
      <c r="M472" s="32">
        <v>163799.75</v>
      </c>
      <c r="N472" s="32">
        <v>2978652.97</v>
      </c>
      <c r="O472" s="33">
        <f t="shared" si="63"/>
        <v>5.9</v>
      </c>
      <c r="P472" s="34">
        <f t="shared" si="61"/>
        <v>93.8680515759312</v>
      </c>
      <c r="Q472" s="35">
        <f t="shared" si="62"/>
        <v>18.1847223210048</v>
      </c>
      <c r="R472" s="35">
        <f t="shared" si="56"/>
        <v>15.1134665067356</v>
      </c>
      <c r="S472" s="33">
        <f t="shared" si="57"/>
        <v>891.66</v>
      </c>
      <c r="T472" s="36">
        <f t="shared" si="58"/>
        <v>1718.47</v>
      </c>
    </row>
    <row r="473" spans="1:20">
      <c r="A473" s="37">
        <v>45701</v>
      </c>
      <c r="B473" s="38" t="s">
        <v>885</v>
      </c>
      <c r="C473" s="38" t="s">
        <v>886</v>
      </c>
      <c r="D473" s="38" t="s">
        <v>887</v>
      </c>
      <c r="E473" s="38" t="s">
        <v>1571</v>
      </c>
      <c r="F473" s="38">
        <f t="shared" si="59"/>
        <v>2025</v>
      </c>
      <c r="G473" s="38" t="str">
        <f t="shared" si="60"/>
        <v>February</v>
      </c>
      <c r="H473" s="30">
        <v>61637</v>
      </c>
      <c r="I473" s="30">
        <v>4452</v>
      </c>
      <c r="J473" s="39">
        <v>790</v>
      </c>
      <c r="K473" s="39">
        <v>460</v>
      </c>
      <c r="L473" s="39">
        <v>264</v>
      </c>
      <c r="M473" s="40">
        <v>35763.23</v>
      </c>
      <c r="N473" s="40">
        <v>1837127.99</v>
      </c>
      <c r="O473" s="33">
        <f t="shared" si="63"/>
        <v>7.22</v>
      </c>
      <c r="P473" s="34">
        <f t="shared" si="61"/>
        <v>45.2699113924051</v>
      </c>
      <c r="Q473" s="35">
        <f t="shared" si="62"/>
        <v>51.3691853336513</v>
      </c>
      <c r="R473" s="35">
        <f t="shared" si="56"/>
        <v>8.03307053009883</v>
      </c>
      <c r="S473" s="33">
        <f t="shared" si="57"/>
        <v>580.22</v>
      </c>
      <c r="T473" s="36">
        <f t="shared" si="58"/>
        <v>5036.92</v>
      </c>
    </row>
    <row r="474" spans="1:20">
      <c r="A474" s="28">
        <v>45702</v>
      </c>
      <c r="B474" s="29" t="s">
        <v>885</v>
      </c>
      <c r="C474" s="29" t="s">
        <v>886</v>
      </c>
      <c r="D474" s="29" t="s">
        <v>887</v>
      </c>
      <c r="E474" s="29" t="s">
        <v>1571</v>
      </c>
      <c r="F474" s="29">
        <f t="shared" si="59"/>
        <v>2025</v>
      </c>
      <c r="G474" s="29" t="str">
        <f t="shared" si="60"/>
        <v>February</v>
      </c>
      <c r="H474" s="30">
        <v>115475</v>
      </c>
      <c r="I474" s="30">
        <v>6434</v>
      </c>
      <c r="J474" s="31">
        <v>1594</v>
      </c>
      <c r="K474" s="31">
        <v>911</v>
      </c>
      <c r="L474" s="31">
        <v>456</v>
      </c>
      <c r="M474" s="32">
        <v>55074.85</v>
      </c>
      <c r="N474" s="32">
        <v>1536942.26</v>
      </c>
      <c r="O474" s="33">
        <f t="shared" si="63"/>
        <v>5.57</v>
      </c>
      <c r="P474" s="34">
        <f t="shared" si="61"/>
        <v>34.5513488080301</v>
      </c>
      <c r="Q474" s="35">
        <f t="shared" si="62"/>
        <v>27.9064266175941</v>
      </c>
      <c r="R474" s="35">
        <f t="shared" si="56"/>
        <v>8.55997046938141</v>
      </c>
      <c r="S474" s="33">
        <f t="shared" si="57"/>
        <v>476.94</v>
      </c>
      <c r="T474" s="36">
        <f t="shared" si="58"/>
        <v>2690.64</v>
      </c>
    </row>
    <row r="475" spans="1:20">
      <c r="A475" s="37">
        <v>45703</v>
      </c>
      <c r="B475" s="38" t="s">
        <v>885</v>
      </c>
      <c r="C475" s="38" t="s">
        <v>886</v>
      </c>
      <c r="D475" s="38" t="s">
        <v>887</v>
      </c>
      <c r="E475" s="38" t="s">
        <v>1571</v>
      </c>
      <c r="F475" s="38">
        <f t="shared" si="59"/>
        <v>2025</v>
      </c>
      <c r="G475" s="38" t="str">
        <f t="shared" si="60"/>
        <v>February</v>
      </c>
      <c r="H475" s="30">
        <v>242487</v>
      </c>
      <c r="I475" s="30">
        <v>10557</v>
      </c>
      <c r="J475" s="39">
        <v>1644</v>
      </c>
      <c r="K475" s="39">
        <v>940</v>
      </c>
      <c r="L475" s="39">
        <v>476</v>
      </c>
      <c r="M475" s="40">
        <v>137455.2</v>
      </c>
      <c r="N475" s="40">
        <v>2658068.14</v>
      </c>
      <c r="O475" s="33">
        <f t="shared" si="63"/>
        <v>4.35</v>
      </c>
      <c r="P475" s="34">
        <f t="shared" si="61"/>
        <v>83.6102189781022</v>
      </c>
      <c r="Q475" s="35">
        <f t="shared" si="62"/>
        <v>19.3377052305042</v>
      </c>
      <c r="R475" s="35">
        <f t="shared" si="56"/>
        <v>13.0202898550725</v>
      </c>
      <c r="S475" s="33">
        <f t="shared" si="57"/>
        <v>566.86</v>
      </c>
      <c r="T475" s="36">
        <f t="shared" si="58"/>
        <v>1833.77</v>
      </c>
    </row>
    <row r="476" spans="1:20">
      <c r="A476" s="28">
        <v>45704</v>
      </c>
      <c r="B476" s="29" t="s">
        <v>885</v>
      </c>
      <c r="C476" s="29" t="s">
        <v>886</v>
      </c>
      <c r="D476" s="29" t="s">
        <v>887</v>
      </c>
      <c r="E476" s="29" t="s">
        <v>1573</v>
      </c>
      <c r="F476" s="29">
        <f t="shared" si="59"/>
        <v>2025</v>
      </c>
      <c r="G476" s="29" t="str">
        <f t="shared" si="60"/>
        <v>February</v>
      </c>
      <c r="H476" s="30">
        <v>236585</v>
      </c>
      <c r="I476" s="30">
        <v>7923</v>
      </c>
      <c r="J476" s="31">
        <v>1495</v>
      </c>
      <c r="K476" s="31">
        <v>848</v>
      </c>
      <c r="L476" s="31">
        <v>467</v>
      </c>
      <c r="M476" s="32">
        <v>129801.04</v>
      </c>
      <c r="N476" s="32">
        <v>3083695.93</v>
      </c>
      <c r="O476" s="33">
        <f t="shared" si="63"/>
        <v>3.35</v>
      </c>
      <c r="P476" s="34">
        <f t="shared" si="61"/>
        <v>86.8234381270903</v>
      </c>
      <c r="Q476" s="35">
        <f t="shared" si="62"/>
        <v>23.7570972466785</v>
      </c>
      <c r="R476" s="35">
        <f t="shared" si="56"/>
        <v>16.3828145904329</v>
      </c>
      <c r="S476" s="33">
        <f t="shared" si="57"/>
        <v>548.64</v>
      </c>
      <c r="T476" s="36">
        <f t="shared" si="58"/>
        <v>2275.71</v>
      </c>
    </row>
    <row r="477" spans="1:20">
      <c r="A477" s="37">
        <v>45705</v>
      </c>
      <c r="B477" s="38" t="s">
        <v>885</v>
      </c>
      <c r="C477" s="38" t="s">
        <v>886</v>
      </c>
      <c r="D477" s="38" t="s">
        <v>887</v>
      </c>
      <c r="E477" s="38" t="s">
        <v>1572</v>
      </c>
      <c r="F477" s="38">
        <f t="shared" si="59"/>
        <v>2025</v>
      </c>
      <c r="G477" s="38" t="str">
        <f t="shared" si="60"/>
        <v>February</v>
      </c>
      <c r="H477" s="30">
        <v>109605</v>
      </c>
      <c r="I477" s="30">
        <v>8284</v>
      </c>
      <c r="J477" s="39">
        <v>1935</v>
      </c>
      <c r="K477" s="39">
        <v>1132</v>
      </c>
      <c r="L477" s="39">
        <v>663</v>
      </c>
      <c r="M477" s="40">
        <v>61086.21</v>
      </c>
      <c r="N477" s="40">
        <v>2830034.76</v>
      </c>
      <c r="O477" s="33">
        <f t="shared" si="63"/>
        <v>7.56</v>
      </c>
      <c r="P477" s="34">
        <f t="shared" si="61"/>
        <v>31.5691007751938</v>
      </c>
      <c r="Q477" s="35">
        <f t="shared" si="62"/>
        <v>46.3285373245451</v>
      </c>
      <c r="R477" s="35">
        <f t="shared" si="56"/>
        <v>7.37399927571222</v>
      </c>
      <c r="S477" s="33">
        <f t="shared" si="57"/>
        <v>557.33</v>
      </c>
      <c r="T477" s="36">
        <f t="shared" si="58"/>
        <v>4532.85</v>
      </c>
    </row>
    <row r="478" spans="1:20">
      <c r="A478" s="28">
        <v>45706</v>
      </c>
      <c r="B478" s="29" t="s">
        <v>885</v>
      </c>
      <c r="C478" s="29" t="s">
        <v>886</v>
      </c>
      <c r="D478" s="29" t="s">
        <v>887</v>
      </c>
      <c r="E478" s="29" t="s">
        <v>1571</v>
      </c>
      <c r="F478" s="29">
        <f t="shared" si="59"/>
        <v>2025</v>
      </c>
      <c r="G478" s="29" t="str">
        <f t="shared" si="60"/>
        <v>February</v>
      </c>
      <c r="H478" s="30">
        <v>59185</v>
      </c>
      <c r="I478" s="30">
        <v>4390</v>
      </c>
      <c r="J478" s="31">
        <v>1044</v>
      </c>
      <c r="K478" s="31">
        <v>588</v>
      </c>
      <c r="L478" s="31">
        <v>283</v>
      </c>
      <c r="M478" s="32">
        <v>39767.6</v>
      </c>
      <c r="N478" s="32">
        <v>1548093.27</v>
      </c>
      <c r="O478" s="33">
        <f t="shared" si="63"/>
        <v>7.42</v>
      </c>
      <c r="P478" s="34">
        <f t="shared" si="61"/>
        <v>38.0915708812261</v>
      </c>
      <c r="Q478" s="35">
        <f t="shared" si="62"/>
        <v>38.9285063720214</v>
      </c>
      <c r="R478" s="35">
        <f t="shared" si="56"/>
        <v>9.05867881548975</v>
      </c>
      <c r="S478" s="33">
        <f t="shared" si="57"/>
        <v>671.92</v>
      </c>
      <c r="T478" s="36">
        <f t="shared" si="58"/>
        <v>3792.85</v>
      </c>
    </row>
    <row r="479" spans="1:20">
      <c r="A479" s="37">
        <v>45707</v>
      </c>
      <c r="B479" s="38" t="s">
        <v>885</v>
      </c>
      <c r="C479" s="38" t="s">
        <v>886</v>
      </c>
      <c r="D479" s="38" t="s">
        <v>887</v>
      </c>
      <c r="E479" s="38" t="s">
        <v>1571</v>
      </c>
      <c r="F479" s="38">
        <f t="shared" si="59"/>
        <v>2025</v>
      </c>
      <c r="G479" s="38" t="str">
        <f t="shared" si="60"/>
        <v>February</v>
      </c>
      <c r="H479" s="30">
        <v>183593</v>
      </c>
      <c r="I479" s="30">
        <v>5650</v>
      </c>
      <c r="J479" s="39">
        <v>1015</v>
      </c>
      <c r="K479" s="39">
        <v>541</v>
      </c>
      <c r="L479" s="39">
        <v>288</v>
      </c>
      <c r="M479" s="40">
        <v>78874.38</v>
      </c>
      <c r="N479" s="40">
        <v>867564.82</v>
      </c>
      <c r="O479" s="33">
        <f t="shared" si="63"/>
        <v>3.08</v>
      </c>
      <c r="P479" s="34">
        <f t="shared" si="61"/>
        <v>77.7087487684729</v>
      </c>
      <c r="Q479" s="35">
        <f t="shared" si="62"/>
        <v>10.9993234812115</v>
      </c>
      <c r="R479" s="35">
        <f t="shared" si="56"/>
        <v>13.9600672566372</v>
      </c>
      <c r="S479" s="33">
        <f t="shared" si="57"/>
        <v>429.62</v>
      </c>
      <c r="T479" s="36">
        <f t="shared" si="58"/>
        <v>999.93</v>
      </c>
    </row>
    <row r="480" spans="1:20">
      <c r="A480" s="28">
        <v>45708</v>
      </c>
      <c r="B480" s="29" t="s">
        <v>885</v>
      </c>
      <c r="C480" s="29" t="s">
        <v>886</v>
      </c>
      <c r="D480" s="29" t="s">
        <v>887</v>
      </c>
      <c r="E480" s="29" t="s">
        <v>1572</v>
      </c>
      <c r="F480" s="29">
        <f t="shared" si="59"/>
        <v>2025</v>
      </c>
      <c r="G480" s="29" t="str">
        <f t="shared" si="60"/>
        <v>February</v>
      </c>
      <c r="H480" s="30">
        <v>115658</v>
      </c>
      <c r="I480" s="30">
        <v>6141</v>
      </c>
      <c r="J480" s="31">
        <v>1182</v>
      </c>
      <c r="K480" s="31">
        <v>685</v>
      </c>
      <c r="L480" s="31">
        <v>302</v>
      </c>
      <c r="M480" s="32">
        <v>81667.73</v>
      </c>
      <c r="N480" s="32">
        <v>2031836.19</v>
      </c>
      <c r="O480" s="33">
        <f t="shared" si="63"/>
        <v>5.31</v>
      </c>
      <c r="P480" s="34">
        <f t="shared" si="61"/>
        <v>69.092834179357</v>
      </c>
      <c r="Q480" s="35">
        <f t="shared" si="62"/>
        <v>24.8793028776482</v>
      </c>
      <c r="R480" s="35">
        <f t="shared" si="56"/>
        <v>13.2987673017424</v>
      </c>
      <c r="S480" s="33">
        <f t="shared" si="57"/>
        <v>706.11</v>
      </c>
      <c r="T480" s="36">
        <f t="shared" si="58"/>
        <v>2387.93</v>
      </c>
    </row>
    <row r="481" spans="1:20">
      <c r="A481" s="37">
        <v>45709</v>
      </c>
      <c r="B481" s="38" t="s">
        <v>885</v>
      </c>
      <c r="C481" s="38" t="s">
        <v>886</v>
      </c>
      <c r="D481" s="38" t="s">
        <v>887</v>
      </c>
      <c r="E481" s="38" t="s">
        <v>1573</v>
      </c>
      <c r="F481" s="38">
        <f t="shared" si="59"/>
        <v>2025</v>
      </c>
      <c r="G481" s="38" t="str">
        <f t="shared" si="60"/>
        <v>February</v>
      </c>
      <c r="H481" s="30">
        <v>125536</v>
      </c>
      <c r="I481" s="30">
        <v>6373</v>
      </c>
      <c r="J481" s="39">
        <v>1242</v>
      </c>
      <c r="K481" s="39">
        <v>763</v>
      </c>
      <c r="L481" s="39">
        <v>414</v>
      </c>
      <c r="M481" s="40">
        <v>81484.23</v>
      </c>
      <c r="N481" s="40">
        <v>3091570.59</v>
      </c>
      <c r="O481" s="33">
        <f t="shared" si="63"/>
        <v>5.08</v>
      </c>
      <c r="P481" s="34">
        <f t="shared" si="61"/>
        <v>65.607270531401</v>
      </c>
      <c r="Q481" s="35">
        <f t="shared" si="62"/>
        <v>37.9407228858885</v>
      </c>
      <c r="R481" s="35">
        <f t="shared" si="56"/>
        <v>12.7858512474502</v>
      </c>
      <c r="S481" s="33">
        <f t="shared" si="57"/>
        <v>649.09</v>
      </c>
      <c r="T481" s="36">
        <f t="shared" si="58"/>
        <v>3694.07</v>
      </c>
    </row>
    <row r="482" spans="1:20">
      <c r="A482" s="28">
        <v>45710</v>
      </c>
      <c r="B482" s="29" t="s">
        <v>885</v>
      </c>
      <c r="C482" s="29" t="s">
        <v>886</v>
      </c>
      <c r="D482" s="29" t="s">
        <v>887</v>
      </c>
      <c r="E482" s="29" t="s">
        <v>1573</v>
      </c>
      <c r="F482" s="29">
        <f t="shared" si="59"/>
        <v>2025</v>
      </c>
      <c r="G482" s="29" t="str">
        <f t="shared" si="60"/>
        <v>February</v>
      </c>
      <c r="H482" s="30">
        <v>279784</v>
      </c>
      <c r="I482" s="30">
        <v>19574</v>
      </c>
      <c r="J482" s="31">
        <v>4822</v>
      </c>
      <c r="K482" s="31">
        <v>2939</v>
      </c>
      <c r="L482" s="31">
        <v>1343</v>
      </c>
      <c r="M482" s="32">
        <v>143229.35</v>
      </c>
      <c r="N482" s="32">
        <v>6633392.34</v>
      </c>
      <c r="O482" s="33">
        <f t="shared" si="63"/>
        <v>7</v>
      </c>
      <c r="P482" s="34">
        <f t="shared" si="61"/>
        <v>29.7033077561178</v>
      </c>
      <c r="Q482" s="35">
        <f t="shared" si="62"/>
        <v>46.3130799658031</v>
      </c>
      <c r="R482" s="35">
        <f t="shared" si="56"/>
        <v>7.31732655563503</v>
      </c>
      <c r="S482" s="33">
        <f t="shared" si="57"/>
        <v>511.93</v>
      </c>
      <c r="T482" s="36">
        <f t="shared" si="58"/>
        <v>4531.31</v>
      </c>
    </row>
    <row r="483" spans="1:20">
      <c r="A483" s="37">
        <v>45711</v>
      </c>
      <c r="B483" s="38" t="s">
        <v>885</v>
      </c>
      <c r="C483" s="38" t="s">
        <v>886</v>
      </c>
      <c r="D483" s="38" t="s">
        <v>887</v>
      </c>
      <c r="E483" s="38" t="s">
        <v>1572</v>
      </c>
      <c r="F483" s="38">
        <f t="shared" si="59"/>
        <v>2025</v>
      </c>
      <c r="G483" s="38" t="str">
        <f t="shared" si="60"/>
        <v>February</v>
      </c>
      <c r="H483" s="30">
        <v>141610</v>
      </c>
      <c r="I483" s="30">
        <v>8320</v>
      </c>
      <c r="J483" s="39">
        <v>1667</v>
      </c>
      <c r="K483" s="39">
        <v>1053</v>
      </c>
      <c r="L483" s="39">
        <v>595</v>
      </c>
      <c r="M483" s="40">
        <v>71547.48</v>
      </c>
      <c r="N483" s="40">
        <v>4297339.82</v>
      </c>
      <c r="O483" s="33">
        <f t="shared" si="63"/>
        <v>5.88</v>
      </c>
      <c r="P483" s="34">
        <f t="shared" si="61"/>
        <v>42.9199040191962</v>
      </c>
      <c r="Q483" s="35">
        <f t="shared" si="62"/>
        <v>60.0627697858821</v>
      </c>
      <c r="R483" s="35">
        <f t="shared" si="56"/>
        <v>8.59945673076923</v>
      </c>
      <c r="S483" s="33">
        <f t="shared" si="57"/>
        <v>505.24</v>
      </c>
      <c r="T483" s="36">
        <f t="shared" si="58"/>
        <v>5906.28</v>
      </c>
    </row>
    <row r="484" spans="1:20">
      <c r="A484" s="28">
        <v>45712</v>
      </c>
      <c r="B484" s="29" t="s">
        <v>885</v>
      </c>
      <c r="C484" s="29" t="s">
        <v>886</v>
      </c>
      <c r="D484" s="29" t="s">
        <v>887</v>
      </c>
      <c r="E484" s="29" t="s">
        <v>1573</v>
      </c>
      <c r="F484" s="29">
        <f t="shared" si="59"/>
        <v>2025</v>
      </c>
      <c r="G484" s="29" t="str">
        <f t="shared" si="60"/>
        <v>February</v>
      </c>
      <c r="H484" s="30">
        <v>145064</v>
      </c>
      <c r="I484" s="30">
        <v>7505</v>
      </c>
      <c r="J484" s="31">
        <v>1364</v>
      </c>
      <c r="K484" s="31">
        <v>661</v>
      </c>
      <c r="L484" s="31">
        <v>346</v>
      </c>
      <c r="M484" s="32">
        <v>74277.51</v>
      </c>
      <c r="N484" s="32">
        <v>1181975.04</v>
      </c>
      <c r="O484" s="33">
        <f t="shared" si="63"/>
        <v>5.17</v>
      </c>
      <c r="P484" s="34">
        <f t="shared" si="61"/>
        <v>54.4556524926686</v>
      </c>
      <c r="Q484" s="35">
        <f t="shared" si="62"/>
        <v>15.9129599255549</v>
      </c>
      <c r="R484" s="35">
        <f t="shared" si="56"/>
        <v>9.89706995336442</v>
      </c>
      <c r="S484" s="33">
        <f t="shared" si="57"/>
        <v>512.03</v>
      </c>
      <c r="T484" s="36">
        <f t="shared" si="58"/>
        <v>1491.3</v>
      </c>
    </row>
    <row r="485" spans="1:20">
      <c r="A485" s="37">
        <v>45713</v>
      </c>
      <c r="B485" s="38" t="s">
        <v>885</v>
      </c>
      <c r="C485" s="38" t="s">
        <v>886</v>
      </c>
      <c r="D485" s="38" t="s">
        <v>887</v>
      </c>
      <c r="E485" s="38" t="s">
        <v>1571</v>
      </c>
      <c r="F485" s="38">
        <f t="shared" si="59"/>
        <v>2025</v>
      </c>
      <c r="G485" s="38" t="str">
        <f t="shared" si="60"/>
        <v>February</v>
      </c>
      <c r="H485" s="30">
        <v>298028</v>
      </c>
      <c r="I485" s="30">
        <v>20642</v>
      </c>
      <c r="J485" s="39">
        <v>4696</v>
      </c>
      <c r="K485" s="39">
        <v>2781</v>
      </c>
      <c r="L485" s="39">
        <v>1630</v>
      </c>
      <c r="M485" s="40">
        <v>284889.28</v>
      </c>
      <c r="N485" s="40">
        <v>11577295.93</v>
      </c>
      <c r="O485" s="33">
        <f t="shared" si="63"/>
        <v>6.93</v>
      </c>
      <c r="P485" s="34">
        <f t="shared" si="61"/>
        <v>60.6663713798978</v>
      </c>
      <c r="Q485" s="35">
        <f t="shared" si="62"/>
        <v>40.6378784417581</v>
      </c>
      <c r="R485" s="35">
        <f t="shared" ref="R485:R548" si="64">(M485/I485)</f>
        <v>13.80143784517</v>
      </c>
      <c r="S485" s="33">
        <f t="shared" si="57"/>
        <v>955.91</v>
      </c>
      <c r="T485" s="36">
        <f t="shared" si="58"/>
        <v>3963.79</v>
      </c>
    </row>
    <row r="486" spans="1:20">
      <c r="A486" s="28">
        <v>45714</v>
      </c>
      <c r="B486" s="29" t="s">
        <v>885</v>
      </c>
      <c r="C486" s="29" t="s">
        <v>886</v>
      </c>
      <c r="D486" s="29" t="s">
        <v>887</v>
      </c>
      <c r="E486" s="29" t="s">
        <v>1572</v>
      </c>
      <c r="F486" s="29">
        <f t="shared" si="59"/>
        <v>2025</v>
      </c>
      <c r="G486" s="29" t="str">
        <f t="shared" si="60"/>
        <v>February</v>
      </c>
      <c r="H486" s="30">
        <v>82925</v>
      </c>
      <c r="I486" s="30">
        <v>5003</v>
      </c>
      <c r="J486" s="31">
        <v>1088</v>
      </c>
      <c r="K486" s="31">
        <v>544</v>
      </c>
      <c r="L486" s="31">
        <v>317</v>
      </c>
      <c r="M486" s="32">
        <v>49214.3</v>
      </c>
      <c r="N486" s="32">
        <v>2410736.98</v>
      </c>
      <c r="O486" s="33">
        <f t="shared" si="63"/>
        <v>6.03</v>
      </c>
      <c r="P486" s="34">
        <f t="shared" si="61"/>
        <v>45.2337316176471</v>
      </c>
      <c r="Q486" s="35">
        <f t="shared" si="62"/>
        <v>48.9844817461591</v>
      </c>
      <c r="R486" s="35">
        <f t="shared" si="64"/>
        <v>9.83695782530482</v>
      </c>
      <c r="S486" s="33">
        <f t="shared" si="57"/>
        <v>593.48</v>
      </c>
      <c r="T486" s="36">
        <f t="shared" si="58"/>
        <v>4798.45</v>
      </c>
    </row>
    <row r="487" spans="1:20">
      <c r="A487" s="37">
        <v>45715</v>
      </c>
      <c r="B487" s="38" t="s">
        <v>885</v>
      </c>
      <c r="C487" s="38" t="s">
        <v>886</v>
      </c>
      <c r="D487" s="38" t="s">
        <v>887</v>
      </c>
      <c r="E487" s="38" t="s">
        <v>1572</v>
      </c>
      <c r="F487" s="38">
        <f t="shared" si="59"/>
        <v>2025</v>
      </c>
      <c r="G487" s="38" t="str">
        <f t="shared" si="60"/>
        <v>February</v>
      </c>
      <c r="H487" s="30">
        <v>113983</v>
      </c>
      <c r="I487" s="30">
        <v>4651</v>
      </c>
      <c r="J487" s="39">
        <v>940</v>
      </c>
      <c r="K487" s="39">
        <v>445</v>
      </c>
      <c r="L487" s="39">
        <v>184</v>
      </c>
      <c r="M487" s="40">
        <v>79830.66</v>
      </c>
      <c r="N487" s="40">
        <v>692151.2</v>
      </c>
      <c r="O487" s="33">
        <f t="shared" si="63"/>
        <v>4.08</v>
      </c>
      <c r="P487" s="34">
        <f t="shared" si="61"/>
        <v>84.9262340425532</v>
      </c>
      <c r="Q487" s="35">
        <f t="shared" si="62"/>
        <v>8.67024273631209</v>
      </c>
      <c r="R487" s="35">
        <f t="shared" si="64"/>
        <v>17.1641926467426</v>
      </c>
      <c r="S487" s="33">
        <f t="shared" si="57"/>
        <v>700.37</v>
      </c>
      <c r="T487" s="36">
        <f t="shared" si="58"/>
        <v>767.02</v>
      </c>
    </row>
    <row r="488" spans="1:20">
      <c r="A488" s="28">
        <v>45716</v>
      </c>
      <c r="B488" s="29" t="s">
        <v>885</v>
      </c>
      <c r="C488" s="29" t="s">
        <v>886</v>
      </c>
      <c r="D488" s="29" t="s">
        <v>887</v>
      </c>
      <c r="E488" s="29" t="s">
        <v>1573</v>
      </c>
      <c r="F488" s="29">
        <f t="shared" si="59"/>
        <v>2025</v>
      </c>
      <c r="G488" s="29" t="str">
        <f t="shared" si="60"/>
        <v>February</v>
      </c>
      <c r="H488" s="30">
        <v>103093</v>
      </c>
      <c r="I488" s="30">
        <v>3235</v>
      </c>
      <c r="J488" s="31">
        <v>665</v>
      </c>
      <c r="K488" s="31">
        <v>347</v>
      </c>
      <c r="L488" s="31">
        <v>181</v>
      </c>
      <c r="M488" s="32">
        <v>70779.6</v>
      </c>
      <c r="N488" s="32">
        <v>1258576.42</v>
      </c>
      <c r="O488" s="33">
        <f t="shared" si="63"/>
        <v>3.14</v>
      </c>
      <c r="P488" s="34">
        <f t="shared" si="61"/>
        <v>106.435488721805</v>
      </c>
      <c r="Q488" s="35">
        <f t="shared" si="62"/>
        <v>17.7816266268812</v>
      </c>
      <c r="R488" s="35">
        <f t="shared" si="64"/>
        <v>21.8793199381762</v>
      </c>
      <c r="S488" s="33">
        <f t="shared" si="57"/>
        <v>686.56</v>
      </c>
      <c r="T488" s="36">
        <f t="shared" si="58"/>
        <v>1678.16</v>
      </c>
    </row>
    <row r="489" spans="1:20">
      <c r="A489" s="37">
        <v>45660</v>
      </c>
      <c r="B489" s="38" t="s">
        <v>885</v>
      </c>
      <c r="C489" s="38" t="s">
        <v>886</v>
      </c>
      <c r="D489" s="38" t="s">
        <v>887</v>
      </c>
      <c r="E489" s="38" t="s">
        <v>1571</v>
      </c>
      <c r="F489" s="38">
        <f t="shared" si="59"/>
        <v>2025</v>
      </c>
      <c r="G489" s="38" t="str">
        <f t="shared" si="60"/>
        <v>January</v>
      </c>
      <c r="H489" s="30">
        <v>53653</v>
      </c>
      <c r="I489" s="30">
        <v>2463</v>
      </c>
      <c r="J489" s="39">
        <v>459</v>
      </c>
      <c r="K489" s="39">
        <v>282</v>
      </c>
      <c r="L489" s="39">
        <v>149</v>
      </c>
      <c r="M489" s="40">
        <v>37104.88</v>
      </c>
      <c r="N489" s="40">
        <v>1030118.97</v>
      </c>
      <c r="O489" s="33">
        <f t="shared" si="63"/>
        <v>4.59</v>
      </c>
      <c r="P489" s="34">
        <f t="shared" si="61"/>
        <v>80.8385185185185</v>
      </c>
      <c r="Q489" s="35">
        <f t="shared" si="62"/>
        <v>27.7623582127203</v>
      </c>
      <c r="R489" s="35">
        <f t="shared" si="64"/>
        <v>15.0649127080796</v>
      </c>
      <c r="S489" s="33">
        <f t="shared" ref="S489:S552" si="65">ROUND(M489/H489*1000,2)</f>
        <v>691.57</v>
      </c>
      <c r="T489" s="36">
        <f t="shared" si="58"/>
        <v>2676.24</v>
      </c>
    </row>
    <row r="490" spans="1:20">
      <c r="A490" s="28">
        <v>45691</v>
      </c>
      <c r="B490" s="29" t="s">
        <v>885</v>
      </c>
      <c r="C490" s="29" t="s">
        <v>886</v>
      </c>
      <c r="D490" s="29" t="s">
        <v>887</v>
      </c>
      <c r="E490" s="29" t="s">
        <v>1571</v>
      </c>
      <c r="F490" s="29">
        <f t="shared" si="59"/>
        <v>2025</v>
      </c>
      <c r="G490" s="29" t="str">
        <f t="shared" si="60"/>
        <v>February</v>
      </c>
      <c r="H490" s="30">
        <v>231442</v>
      </c>
      <c r="I490" s="30">
        <v>13709</v>
      </c>
      <c r="J490" s="31">
        <v>2805</v>
      </c>
      <c r="K490" s="31">
        <v>1555</v>
      </c>
      <c r="L490" s="31">
        <v>749</v>
      </c>
      <c r="M490" s="32">
        <v>207424.01</v>
      </c>
      <c r="N490" s="32">
        <v>4028445.09</v>
      </c>
      <c r="O490" s="33">
        <f t="shared" si="63"/>
        <v>5.92</v>
      </c>
      <c r="P490" s="34">
        <f t="shared" si="61"/>
        <v>73.947953654189</v>
      </c>
      <c r="Q490" s="35">
        <f t="shared" si="62"/>
        <v>19.4213056145236</v>
      </c>
      <c r="R490" s="35">
        <f t="shared" si="64"/>
        <v>15.1304989423007</v>
      </c>
      <c r="S490" s="33">
        <f t="shared" si="65"/>
        <v>896.22</v>
      </c>
      <c r="T490" s="36">
        <f t="shared" si="58"/>
        <v>1842.13</v>
      </c>
    </row>
    <row r="491" spans="1:20">
      <c r="A491" s="37">
        <v>45719</v>
      </c>
      <c r="B491" s="38" t="s">
        <v>885</v>
      </c>
      <c r="C491" s="38" t="s">
        <v>886</v>
      </c>
      <c r="D491" s="38" t="s">
        <v>887</v>
      </c>
      <c r="E491" s="38" t="s">
        <v>1573</v>
      </c>
      <c r="F491" s="38">
        <f t="shared" si="59"/>
        <v>2025</v>
      </c>
      <c r="G491" s="38" t="str">
        <f t="shared" si="60"/>
        <v>March</v>
      </c>
      <c r="H491" s="30">
        <v>134246</v>
      </c>
      <c r="I491" s="30">
        <v>8250</v>
      </c>
      <c r="J491" s="39">
        <v>1329</v>
      </c>
      <c r="K491" s="39">
        <v>727</v>
      </c>
      <c r="L491" s="39">
        <v>429</v>
      </c>
      <c r="M491" s="40">
        <v>78289.58</v>
      </c>
      <c r="N491" s="40">
        <v>2346719</v>
      </c>
      <c r="O491" s="33">
        <f t="shared" si="63"/>
        <v>6.15</v>
      </c>
      <c r="P491" s="34">
        <f t="shared" si="61"/>
        <v>58.9086380737397</v>
      </c>
      <c r="Q491" s="35">
        <f t="shared" si="62"/>
        <v>29.9748574459079</v>
      </c>
      <c r="R491" s="35">
        <f t="shared" si="64"/>
        <v>9.48964606060606</v>
      </c>
      <c r="S491" s="33">
        <f t="shared" si="65"/>
        <v>583.18</v>
      </c>
      <c r="T491" s="36">
        <f t="shared" si="58"/>
        <v>2897.49</v>
      </c>
    </row>
    <row r="492" spans="1:20">
      <c r="A492" s="28">
        <v>45750</v>
      </c>
      <c r="B492" s="29" t="s">
        <v>885</v>
      </c>
      <c r="C492" s="29" t="s">
        <v>886</v>
      </c>
      <c r="D492" s="29" t="s">
        <v>887</v>
      </c>
      <c r="E492" s="29" t="s">
        <v>1571</v>
      </c>
      <c r="F492" s="29">
        <f t="shared" si="59"/>
        <v>2025</v>
      </c>
      <c r="G492" s="29" t="str">
        <f t="shared" si="60"/>
        <v>April</v>
      </c>
      <c r="H492" s="30">
        <v>131176</v>
      </c>
      <c r="I492" s="30">
        <v>5409</v>
      </c>
      <c r="J492" s="31">
        <v>1273</v>
      </c>
      <c r="K492" s="31">
        <v>750</v>
      </c>
      <c r="L492" s="31">
        <v>449</v>
      </c>
      <c r="M492" s="32">
        <v>67190.07</v>
      </c>
      <c r="N492" s="32">
        <v>3326521.1</v>
      </c>
      <c r="O492" s="33">
        <f t="shared" si="63"/>
        <v>4.12</v>
      </c>
      <c r="P492" s="34">
        <f t="shared" si="61"/>
        <v>52.7808876669285</v>
      </c>
      <c r="Q492" s="35">
        <f t="shared" si="62"/>
        <v>49.5091179396003</v>
      </c>
      <c r="R492" s="35">
        <f t="shared" si="64"/>
        <v>12.421902384914</v>
      </c>
      <c r="S492" s="33">
        <f t="shared" si="65"/>
        <v>512.21</v>
      </c>
      <c r="T492" s="36">
        <f t="shared" si="58"/>
        <v>4850.91</v>
      </c>
    </row>
    <row r="493" spans="1:20">
      <c r="A493" s="37">
        <v>45780</v>
      </c>
      <c r="B493" s="38" t="s">
        <v>885</v>
      </c>
      <c r="C493" s="38" t="s">
        <v>886</v>
      </c>
      <c r="D493" s="38" t="s">
        <v>887</v>
      </c>
      <c r="E493" s="38" t="s">
        <v>1573</v>
      </c>
      <c r="F493" s="38">
        <f t="shared" si="59"/>
        <v>2025</v>
      </c>
      <c r="G493" s="38" t="str">
        <f t="shared" si="60"/>
        <v>May</v>
      </c>
      <c r="H493" s="30">
        <v>75507</v>
      </c>
      <c r="I493" s="30">
        <v>4191</v>
      </c>
      <c r="J493" s="39">
        <v>800</v>
      </c>
      <c r="K493" s="39">
        <v>373</v>
      </c>
      <c r="L493" s="39">
        <v>220</v>
      </c>
      <c r="M493" s="40">
        <v>68079.25</v>
      </c>
      <c r="N493" s="40">
        <v>1653602.64</v>
      </c>
      <c r="O493" s="33">
        <f t="shared" si="63"/>
        <v>5.55</v>
      </c>
      <c r="P493" s="34">
        <f t="shared" si="61"/>
        <v>85.0990625</v>
      </c>
      <c r="Q493" s="35">
        <f t="shared" si="62"/>
        <v>24.2893780410331</v>
      </c>
      <c r="R493" s="35">
        <f t="shared" si="64"/>
        <v>16.2441541398234</v>
      </c>
      <c r="S493" s="33">
        <f t="shared" si="65"/>
        <v>901.63</v>
      </c>
      <c r="T493" s="36">
        <f t="shared" si="58"/>
        <v>2328.94</v>
      </c>
    </row>
    <row r="494" spans="1:20">
      <c r="A494" s="28">
        <v>45811</v>
      </c>
      <c r="B494" s="29" t="s">
        <v>885</v>
      </c>
      <c r="C494" s="29" t="s">
        <v>886</v>
      </c>
      <c r="D494" s="29" t="s">
        <v>887</v>
      </c>
      <c r="E494" s="29" t="s">
        <v>1572</v>
      </c>
      <c r="F494" s="29">
        <f t="shared" si="59"/>
        <v>2025</v>
      </c>
      <c r="G494" s="29" t="str">
        <f t="shared" si="60"/>
        <v>June</v>
      </c>
      <c r="H494" s="30">
        <v>188977</v>
      </c>
      <c r="I494" s="30">
        <v>11714</v>
      </c>
      <c r="J494" s="31">
        <v>2647</v>
      </c>
      <c r="K494" s="31">
        <v>1690</v>
      </c>
      <c r="L494" s="31">
        <v>798</v>
      </c>
      <c r="M494" s="32">
        <v>113365.21</v>
      </c>
      <c r="N494" s="32">
        <v>5029867.79</v>
      </c>
      <c r="O494" s="33">
        <f t="shared" si="63"/>
        <v>6.2</v>
      </c>
      <c r="P494" s="34">
        <f t="shared" si="61"/>
        <v>42.8278088401965</v>
      </c>
      <c r="Q494" s="35">
        <f t="shared" si="62"/>
        <v>44.3687070310195</v>
      </c>
      <c r="R494" s="35">
        <f t="shared" si="64"/>
        <v>9.67775396960902</v>
      </c>
      <c r="S494" s="33">
        <f t="shared" si="65"/>
        <v>599.89</v>
      </c>
      <c r="T494" s="36">
        <f t="shared" ref="T494:T557" si="66">ROUND((N494-M494)/M494*100,2)</f>
        <v>4336.87</v>
      </c>
    </row>
    <row r="495" spans="1:20">
      <c r="A495" s="37">
        <v>45841</v>
      </c>
      <c r="B495" s="38" t="s">
        <v>885</v>
      </c>
      <c r="C495" s="38" t="s">
        <v>886</v>
      </c>
      <c r="D495" s="38" t="s">
        <v>887</v>
      </c>
      <c r="E495" s="38" t="s">
        <v>1572</v>
      </c>
      <c r="F495" s="38">
        <f t="shared" si="59"/>
        <v>2025</v>
      </c>
      <c r="G495" s="38" t="str">
        <f t="shared" si="60"/>
        <v>July</v>
      </c>
      <c r="H495" s="30">
        <v>252677</v>
      </c>
      <c r="I495" s="30">
        <v>9888</v>
      </c>
      <c r="J495" s="39">
        <v>1997</v>
      </c>
      <c r="K495" s="39">
        <v>964</v>
      </c>
      <c r="L495" s="39">
        <v>578</v>
      </c>
      <c r="M495" s="40">
        <v>105630.8</v>
      </c>
      <c r="N495" s="40">
        <v>3700568.66</v>
      </c>
      <c r="O495" s="33">
        <f t="shared" si="63"/>
        <v>3.91</v>
      </c>
      <c r="P495" s="34">
        <f t="shared" si="61"/>
        <v>52.8947421131698</v>
      </c>
      <c r="Q495" s="35">
        <f t="shared" si="62"/>
        <v>35.0330458540501</v>
      </c>
      <c r="R495" s="35">
        <f t="shared" si="64"/>
        <v>10.6827265372168</v>
      </c>
      <c r="S495" s="33">
        <f t="shared" si="65"/>
        <v>418.05</v>
      </c>
      <c r="T495" s="36">
        <f t="shared" si="66"/>
        <v>3403.3</v>
      </c>
    </row>
    <row r="496" spans="1:20">
      <c r="A496" s="28">
        <v>45872</v>
      </c>
      <c r="B496" s="29" t="s">
        <v>885</v>
      </c>
      <c r="C496" s="29" t="s">
        <v>886</v>
      </c>
      <c r="D496" s="29" t="s">
        <v>887</v>
      </c>
      <c r="E496" s="29" t="s">
        <v>1571</v>
      </c>
      <c r="F496" s="29">
        <f t="shared" si="59"/>
        <v>2025</v>
      </c>
      <c r="G496" s="29" t="str">
        <f t="shared" si="60"/>
        <v>August</v>
      </c>
      <c r="H496" s="30">
        <v>146366</v>
      </c>
      <c r="I496" s="30">
        <v>8269</v>
      </c>
      <c r="J496" s="31">
        <v>1633</v>
      </c>
      <c r="K496" s="31">
        <v>979</v>
      </c>
      <c r="L496" s="31">
        <v>429</v>
      </c>
      <c r="M496" s="32">
        <v>108116.05</v>
      </c>
      <c r="N496" s="32">
        <v>2625145.22</v>
      </c>
      <c r="O496" s="33">
        <f t="shared" si="63"/>
        <v>5.65</v>
      </c>
      <c r="P496" s="34">
        <f t="shared" si="61"/>
        <v>66.2070116350276</v>
      </c>
      <c r="Q496" s="35">
        <f t="shared" si="62"/>
        <v>24.280809556028</v>
      </c>
      <c r="R496" s="35">
        <f t="shared" si="64"/>
        <v>13.0748639496916</v>
      </c>
      <c r="S496" s="33">
        <f t="shared" si="65"/>
        <v>738.67</v>
      </c>
      <c r="T496" s="36">
        <f t="shared" si="66"/>
        <v>2328.08</v>
      </c>
    </row>
    <row r="497" spans="1:20">
      <c r="A497" s="37">
        <v>45903</v>
      </c>
      <c r="B497" s="38" t="s">
        <v>885</v>
      </c>
      <c r="C497" s="38" t="s">
        <v>886</v>
      </c>
      <c r="D497" s="38" t="s">
        <v>887</v>
      </c>
      <c r="E497" s="38" t="s">
        <v>1573</v>
      </c>
      <c r="F497" s="38">
        <f t="shared" si="59"/>
        <v>2025</v>
      </c>
      <c r="G497" s="38" t="str">
        <f t="shared" si="60"/>
        <v>September</v>
      </c>
      <c r="H497" s="30">
        <v>134757</v>
      </c>
      <c r="I497" s="30">
        <v>6182</v>
      </c>
      <c r="J497" s="39">
        <v>1265</v>
      </c>
      <c r="K497" s="39">
        <v>682</v>
      </c>
      <c r="L497" s="39">
        <v>294</v>
      </c>
      <c r="M497" s="40">
        <v>74426.89</v>
      </c>
      <c r="N497" s="40">
        <v>1368570.59</v>
      </c>
      <c r="O497" s="33">
        <f t="shared" si="63"/>
        <v>4.59</v>
      </c>
      <c r="P497" s="34">
        <f t="shared" si="61"/>
        <v>58.8354861660079</v>
      </c>
      <c r="Q497" s="35">
        <f t="shared" si="62"/>
        <v>18.3881200732692</v>
      </c>
      <c r="R497" s="35">
        <f t="shared" si="64"/>
        <v>12.0392898738272</v>
      </c>
      <c r="S497" s="33">
        <f t="shared" si="65"/>
        <v>552.3</v>
      </c>
      <c r="T497" s="36">
        <f t="shared" si="66"/>
        <v>1738.81</v>
      </c>
    </row>
    <row r="498" spans="1:20">
      <c r="A498" s="28">
        <v>45933</v>
      </c>
      <c r="B498" s="29" t="s">
        <v>885</v>
      </c>
      <c r="C498" s="29" t="s">
        <v>886</v>
      </c>
      <c r="D498" s="29" t="s">
        <v>887</v>
      </c>
      <c r="E498" s="29" t="s">
        <v>1572</v>
      </c>
      <c r="F498" s="29">
        <f t="shared" si="59"/>
        <v>2025</v>
      </c>
      <c r="G498" s="29" t="str">
        <f t="shared" si="60"/>
        <v>October</v>
      </c>
      <c r="H498" s="30">
        <v>258417</v>
      </c>
      <c r="I498" s="30">
        <v>18909</v>
      </c>
      <c r="J498" s="31">
        <v>4020</v>
      </c>
      <c r="K498" s="31">
        <v>2269</v>
      </c>
      <c r="L498" s="31">
        <v>1059</v>
      </c>
      <c r="M498" s="32">
        <v>140621.96</v>
      </c>
      <c r="N498" s="32">
        <v>7367765.46</v>
      </c>
      <c r="O498" s="33">
        <f t="shared" si="63"/>
        <v>7.32</v>
      </c>
      <c r="P498" s="34">
        <f t="shared" si="61"/>
        <v>34.9805870646766</v>
      </c>
      <c r="Q498" s="35">
        <f t="shared" si="62"/>
        <v>52.3941314713577</v>
      </c>
      <c r="R498" s="35">
        <f t="shared" si="64"/>
        <v>7.43677402295203</v>
      </c>
      <c r="S498" s="33">
        <f t="shared" si="65"/>
        <v>544.17</v>
      </c>
      <c r="T498" s="36">
        <f t="shared" si="66"/>
        <v>5139.41</v>
      </c>
    </row>
    <row r="499" spans="1:20">
      <c r="A499" s="37">
        <v>45964</v>
      </c>
      <c r="B499" s="38" t="s">
        <v>885</v>
      </c>
      <c r="C499" s="38" t="s">
        <v>886</v>
      </c>
      <c r="D499" s="38" t="s">
        <v>887</v>
      </c>
      <c r="E499" s="38" t="s">
        <v>1572</v>
      </c>
      <c r="F499" s="38">
        <f t="shared" si="59"/>
        <v>2025</v>
      </c>
      <c r="G499" s="38" t="str">
        <f t="shared" si="60"/>
        <v>November</v>
      </c>
      <c r="H499" s="30">
        <v>209874</v>
      </c>
      <c r="I499" s="30">
        <v>11904</v>
      </c>
      <c r="J499" s="39">
        <v>2886</v>
      </c>
      <c r="K499" s="39">
        <v>1634</v>
      </c>
      <c r="L499" s="39">
        <v>908</v>
      </c>
      <c r="M499" s="40">
        <v>156283.1</v>
      </c>
      <c r="N499" s="40">
        <v>4945752.52</v>
      </c>
      <c r="O499" s="33">
        <f t="shared" si="63"/>
        <v>5.67</v>
      </c>
      <c r="P499" s="34">
        <f t="shared" si="61"/>
        <v>54.1521483021483</v>
      </c>
      <c r="Q499" s="35">
        <f t="shared" si="62"/>
        <v>31.6461122155882</v>
      </c>
      <c r="R499" s="35">
        <f t="shared" si="64"/>
        <v>13.1286206317204</v>
      </c>
      <c r="S499" s="33">
        <f t="shared" si="65"/>
        <v>744.65</v>
      </c>
      <c r="T499" s="36">
        <f t="shared" si="66"/>
        <v>3064.61</v>
      </c>
    </row>
    <row r="500" spans="1:20">
      <c r="A500" s="28">
        <v>45994</v>
      </c>
      <c r="B500" s="29" t="s">
        <v>885</v>
      </c>
      <c r="C500" s="29" t="s">
        <v>886</v>
      </c>
      <c r="D500" s="29" t="s">
        <v>887</v>
      </c>
      <c r="E500" s="29" t="s">
        <v>1571</v>
      </c>
      <c r="F500" s="29">
        <f t="shared" si="59"/>
        <v>2025</v>
      </c>
      <c r="G500" s="29" t="str">
        <f t="shared" si="60"/>
        <v>December</v>
      </c>
      <c r="H500" s="30">
        <v>142999</v>
      </c>
      <c r="I500" s="30">
        <v>4752</v>
      </c>
      <c r="J500" s="31">
        <v>762</v>
      </c>
      <c r="K500" s="31">
        <v>444</v>
      </c>
      <c r="L500" s="31">
        <v>200</v>
      </c>
      <c r="M500" s="32">
        <v>92318.66</v>
      </c>
      <c r="N500" s="32">
        <v>795253.41</v>
      </c>
      <c r="O500" s="33">
        <f t="shared" si="63"/>
        <v>3.32</v>
      </c>
      <c r="P500" s="34">
        <f t="shared" si="61"/>
        <v>121.153097112861</v>
      </c>
      <c r="Q500" s="35">
        <f t="shared" si="62"/>
        <v>8.61422176188433</v>
      </c>
      <c r="R500" s="35">
        <f t="shared" si="64"/>
        <v>19.4273274410774</v>
      </c>
      <c r="S500" s="33">
        <f t="shared" si="65"/>
        <v>645.59</v>
      </c>
      <c r="T500" s="36">
        <f t="shared" si="66"/>
        <v>761.42</v>
      </c>
    </row>
    <row r="501" spans="1:20">
      <c r="A501" s="37">
        <v>45729</v>
      </c>
      <c r="B501" s="38" t="s">
        <v>885</v>
      </c>
      <c r="C501" s="38" t="s">
        <v>886</v>
      </c>
      <c r="D501" s="38" t="s">
        <v>887</v>
      </c>
      <c r="E501" s="38" t="s">
        <v>1571</v>
      </c>
      <c r="F501" s="38">
        <f t="shared" si="59"/>
        <v>2025</v>
      </c>
      <c r="G501" s="38" t="str">
        <f t="shared" si="60"/>
        <v>March</v>
      </c>
      <c r="H501" s="30">
        <v>250958</v>
      </c>
      <c r="I501" s="30">
        <v>19914</v>
      </c>
      <c r="J501" s="39">
        <v>4316</v>
      </c>
      <c r="K501" s="39">
        <v>2505</v>
      </c>
      <c r="L501" s="39">
        <v>1303</v>
      </c>
      <c r="M501" s="40">
        <v>101670.82</v>
      </c>
      <c r="N501" s="40">
        <v>4200194.37</v>
      </c>
      <c r="O501" s="33">
        <f t="shared" si="63"/>
        <v>7.94</v>
      </c>
      <c r="P501" s="34">
        <f t="shared" si="61"/>
        <v>23.5567238183503</v>
      </c>
      <c r="Q501" s="35">
        <f t="shared" si="62"/>
        <v>41.3116995613884</v>
      </c>
      <c r="R501" s="35">
        <f t="shared" si="64"/>
        <v>5.10549462689565</v>
      </c>
      <c r="S501" s="33">
        <f t="shared" si="65"/>
        <v>405.13</v>
      </c>
      <c r="T501" s="36">
        <f t="shared" si="66"/>
        <v>4031.17</v>
      </c>
    </row>
    <row r="502" spans="1:20">
      <c r="A502" s="28">
        <v>45730</v>
      </c>
      <c r="B502" s="29" t="s">
        <v>885</v>
      </c>
      <c r="C502" s="29" t="s">
        <v>886</v>
      </c>
      <c r="D502" s="29" t="s">
        <v>887</v>
      </c>
      <c r="E502" s="29" t="s">
        <v>1572</v>
      </c>
      <c r="F502" s="29">
        <f t="shared" si="59"/>
        <v>2025</v>
      </c>
      <c r="G502" s="29" t="str">
        <f t="shared" si="60"/>
        <v>March</v>
      </c>
      <c r="H502" s="30">
        <v>286615</v>
      </c>
      <c r="I502" s="30">
        <v>14860</v>
      </c>
      <c r="J502" s="31">
        <v>3405</v>
      </c>
      <c r="K502" s="31">
        <v>1582</v>
      </c>
      <c r="L502" s="31">
        <v>809</v>
      </c>
      <c r="M502" s="32">
        <v>174370.56</v>
      </c>
      <c r="N502" s="32">
        <v>6056441.37</v>
      </c>
      <c r="O502" s="33">
        <f t="shared" si="63"/>
        <v>5.18</v>
      </c>
      <c r="P502" s="34">
        <f t="shared" si="61"/>
        <v>51.2101497797357</v>
      </c>
      <c r="Q502" s="35">
        <f t="shared" si="62"/>
        <v>34.7331646466009</v>
      </c>
      <c r="R502" s="35">
        <f t="shared" si="64"/>
        <v>11.7342234185734</v>
      </c>
      <c r="S502" s="33">
        <f t="shared" si="65"/>
        <v>608.38</v>
      </c>
      <c r="T502" s="36">
        <f t="shared" si="66"/>
        <v>3373.32</v>
      </c>
    </row>
    <row r="503" spans="1:20">
      <c r="A503" s="37">
        <v>45731</v>
      </c>
      <c r="B503" s="38" t="s">
        <v>885</v>
      </c>
      <c r="C503" s="38" t="s">
        <v>886</v>
      </c>
      <c r="D503" s="38" t="s">
        <v>887</v>
      </c>
      <c r="E503" s="38" t="s">
        <v>1571</v>
      </c>
      <c r="F503" s="38">
        <f t="shared" si="59"/>
        <v>2025</v>
      </c>
      <c r="G503" s="38" t="str">
        <f t="shared" si="60"/>
        <v>March</v>
      </c>
      <c r="H503" s="30">
        <v>184520</v>
      </c>
      <c r="I503" s="30">
        <v>9112</v>
      </c>
      <c r="J503" s="39">
        <v>2248</v>
      </c>
      <c r="K503" s="39">
        <v>1022</v>
      </c>
      <c r="L503" s="39">
        <v>476</v>
      </c>
      <c r="M503" s="40">
        <v>93561.23</v>
      </c>
      <c r="N503" s="40">
        <v>2941652.56</v>
      </c>
      <c r="O503" s="33">
        <f t="shared" si="63"/>
        <v>4.94</v>
      </c>
      <c r="P503" s="34">
        <f t="shared" si="61"/>
        <v>41.6197642348754</v>
      </c>
      <c r="Q503" s="35">
        <f t="shared" si="62"/>
        <v>31.4409350967276</v>
      </c>
      <c r="R503" s="35">
        <f t="shared" si="64"/>
        <v>10.2679137401229</v>
      </c>
      <c r="S503" s="33">
        <f t="shared" si="65"/>
        <v>507.05</v>
      </c>
      <c r="T503" s="36">
        <f t="shared" si="66"/>
        <v>3044.09</v>
      </c>
    </row>
    <row r="504" spans="1:20">
      <c r="A504" s="28">
        <v>45732</v>
      </c>
      <c r="B504" s="29" t="s">
        <v>885</v>
      </c>
      <c r="C504" s="29" t="s">
        <v>886</v>
      </c>
      <c r="D504" s="29" t="s">
        <v>887</v>
      </c>
      <c r="E504" s="29" t="s">
        <v>1572</v>
      </c>
      <c r="F504" s="29">
        <f t="shared" si="59"/>
        <v>2025</v>
      </c>
      <c r="G504" s="29" t="str">
        <f t="shared" si="60"/>
        <v>March</v>
      </c>
      <c r="H504" s="30">
        <v>143329</v>
      </c>
      <c r="I504" s="30">
        <v>8242</v>
      </c>
      <c r="J504" s="31">
        <v>2029</v>
      </c>
      <c r="K504" s="31">
        <v>1135</v>
      </c>
      <c r="L504" s="31">
        <v>533</v>
      </c>
      <c r="M504" s="32">
        <v>135105.23</v>
      </c>
      <c r="N504" s="32">
        <v>2328047.63</v>
      </c>
      <c r="O504" s="33">
        <f t="shared" si="63"/>
        <v>5.75</v>
      </c>
      <c r="P504" s="34">
        <f t="shared" si="61"/>
        <v>66.5871020206999</v>
      </c>
      <c r="Q504" s="35">
        <f t="shared" si="62"/>
        <v>17.231365728773</v>
      </c>
      <c r="R504" s="35">
        <f t="shared" si="64"/>
        <v>16.3922870662461</v>
      </c>
      <c r="S504" s="33">
        <f t="shared" si="65"/>
        <v>942.62</v>
      </c>
      <c r="T504" s="36">
        <f t="shared" si="66"/>
        <v>1623.14</v>
      </c>
    </row>
    <row r="505" spans="1:20">
      <c r="A505" s="37">
        <v>45733</v>
      </c>
      <c r="B505" s="38" t="s">
        <v>885</v>
      </c>
      <c r="C505" s="38" t="s">
        <v>886</v>
      </c>
      <c r="D505" s="38" t="s">
        <v>887</v>
      </c>
      <c r="E505" s="38" t="s">
        <v>1571</v>
      </c>
      <c r="F505" s="38">
        <f t="shared" si="59"/>
        <v>2025</v>
      </c>
      <c r="G505" s="38" t="str">
        <f t="shared" si="60"/>
        <v>March</v>
      </c>
      <c r="H505" s="30">
        <v>265195</v>
      </c>
      <c r="I505" s="30">
        <v>10327</v>
      </c>
      <c r="J505" s="39">
        <v>2049</v>
      </c>
      <c r="K505" s="39">
        <v>1182</v>
      </c>
      <c r="L505" s="39">
        <v>589</v>
      </c>
      <c r="M505" s="40">
        <v>179628.87</v>
      </c>
      <c r="N505" s="40">
        <v>4703747.8</v>
      </c>
      <c r="O505" s="33">
        <f t="shared" si="63"/>
        <v>3.89</v>
      </c>
      <c r="P505" s="34">
        <f t="shared" si="61"/>
        <v>87.6666032210834</v>
      </c>
      <c r="Q505" s="35">
        <f t="shared" si="62"/>
        <v>26.1859232316053</v>
      </c>
      <c r="R505" s="35">
        <f t="shared" si="64"/>
        <v>17.3940999322165</v>
      </c>
      <c r="S505" s="33">
        <f t="shared" si="65"/>
        <v>677.35</v>
      </c>
      <c r="T505" s="36">
        <f t="shared" si="66"/>
        <v>2518.59</v>
      </c>
    </row>
    <row r="506" spans="1:20">
      <c r="A506" s="28">
        <v>45734</v>
      </c>
      <c r="B506" s="29" t="s">
        <v>885</v>
      </c>
      <c r="C506" s="29" t="s">
        <v>886</v>
      </c>
      <c r="D506" s="29" t="s">
        <v>887</v>
      </c>
      <c r="E506" s="29" t="s">
        <v>1571</v>
      </c>
      <c r="F506" s="29">
        <f t="shared" si="59"/>
        <v>2025</v>
      </c>
      <c r="G506" s="29" t="str">
        <f t="shared" si="60"/>
        <v>March</v>
      </c>
      <c r="H506" s="30">
        <v>122661</v>
      </c>
      <c r="I506" s="30">
        <v>9777</v>
      </c>
      <c r="J506" s="31">
        <v>2435</v>
      </c>
      <c r="K506" s="31">
        <v>1113</v>
      </c>
      <c r="L506" s="31">
        <v>594</v>
      </c>
      <c r="M506" s="32">
        <v>87088.41</v>
      </c>
      <c r="N506" s="32">
        <v>4550062.67</v>
      </c>
      <c r="O506" s="33">
        <f t="shared" si="63"/>
        <v>7.97</v>
      </c>
      <c r="P506" s="34">
        <f t="shared" si="61"/>
        <v>35.7652607802875</v>
      </c>
      <c r="Q506" s="35">
        <f t="shared" si="62"/>
        <v>52.2464776885925</v>
      </c>
      <c r="R506" s="35">
        <f t="shared" si="64"/>
        <v>8.90747775391224</v>
      </c>
      <c r="S506" s="33">
        <f t="shared" si="65"/>
        <v>709.99</v>
      </c>
      <c r="T506" s="36">
        <f t="shared" si="66"/>
        <v>5124.65</v>
      </c>
    </row>
    <row r="507" spans="1:20">
      <c r="A507" s="37">
        <v>45735</v>
      </c>
      <c r="B507" s="38" t="s">
        <v>885</v>
      </c>
      <c r="C507" s="38" t="s">
        <v>886</v>
      </c>
      <c r="D507" s="38" t="s">
        <v>887</v>
      </c>
      <c r="E507" s="38" t="s">
        <v>1573</v>
      </c>
      <c r="F507" s="38">
        <f t="shared" si="59"/>
        <v>2025</v>
      </c>
      <c r="G507" s="38" t="str">
        <f t="shared" si="60"/>
        <v>March</v>
      </c>
      <c r="H507" s="30">
        <v>256063</v>
      </c>
      <c r="I507" s="30">
        <v>19097</v>
      </c>
      <c r="J507" s="39">
        <v>2939</v>
      </c>
      <c r="K507" s="39">
        <v>1547</v>
      </c>
      <c r="L507" s="39">
        <v>914</v>
      </c>
      <c r="M507" s="40">
        <v>201254.06</v>
      </c>
      <c r="N507" s="40">
        <v>5172875.5</v>
      </c>
      <c r="O507" s="33">
        <f t="shared" si="63"/>
        <v>7.46</v>
      </c>
      <c r="P507" s="34">
        <f t="shared" si="61"/>
        <v>68.4770534195304</v>
      </c>
      <c r="Q507" s="35">
        <f t="shared" si="62"/>
        <v>25.7032106582098</v>
      </c>
      <c r="R507" s="35">
        <f t="shared" si="64"/>
        <v>10.538517044562</v>
      </c>
      <c r="S507" s="33">
        <f t="shared" si="65"/>
        <v>785.96</v>
      </c>
      <c r="T507" s="36">
        <f t="shared" si="66"/>
        <v>2470.32</v>
      </c>
    </row>
    <row r="508" spans="1:20">
      <c r="A508" s="28">
        <v>45736</v>
      </c>
      <c r="B508" s="29" t="s">
        <v>885</v>
      </c>
      <c r="C508" s="29" t="s">
        <v>886</v>
      </c>
      <c r="D508" s="29" t="s">
        <v>887</v>
      </c>
      <c r="E508" s="29" t="s">
        <v>1572</v>
      </c>
      <c r="F508" s="29">
        <f t="shared" si="59"/>
        <v>2025</v>
      </c>
      <c r="G508" s="29" t="str">
        <f t="shared" si="60"/>
        <v>March</v>
      </c>
      <c r="H508" s="30">
        <v>107546</v>
      </c>
      <c r="I508" s="30">
        <v>4153</v>
      </c>
      <c r="J508" s="31">
        <v>907</v>
      </c>
      <c r="K508" s="31">
        <v>465</v>
      </c>
      <c r="L508" s="31">
        <v>194</v>
      </c>
      <c r="M508" s="32">
        <v>97757.51</v>
      </c>
      <c r="N508" s="32">
        <v>602706.81</v>
      </c>
      <c r="O508" s="33">
        <f t="shared" si="63"/>
        <v>3.86</v>
      </c>
      <c r="P508" s="34">
        <f t="shared" si="61"/>
        <v>107.781157662624</v>
      </c>
      <c r="Q508" s="35">
        <f t="shared" si="62"/>
        <v>6.1653248942204</v>
      </c>
      <c r="R508" s="35">
        <f t="shared" si="64"/>
        <v>23.539010353961</v>
      </c>
      <c r="S508" s="33">
        <f t="shared" si="65"/>
        <v>908.98</v>
      </c>
      <c r="T508" s="36">
        <f t="shared" si="66"/>
        <v>516.53</v>
      </c>
    </row>
    <row r="509" spans="1:20">
      <c r="A509" s="37">
        <v>45737</v>
      </c>
      <c r="B509" s="38" t="s">
        <v>885</v>
      </c>
      <c r="C509" s="38" t="s">
        <v>886</v>
      </c>
      <c r="D509" s="38" t="s">
        <v>887</v>
      </c>
      <c r="E509" s="38" t="s">
        <v>1573</v>
      </c>
      <c r="F509" s="38">
        <f t="shared" si="59"/>
        <v>2025</v>
      </c>
      <c r="G509" s="38" t="str">
        <f t="shared" si="60"/>
        <v>March</v>
      </c>
      <c r="H509" s="30">
        <v>171811</v>
      </c>
      <c r="I509" s="30">
        <v>7500</v>
      </c>
      <c r="J509" s="39">
        <v>1283</v>
      </c>
      <c r="K509" s="39">
        <v>812</v>
      </c>
      <c r="L509" s="39">
        <v>351</v>
      </c>
      <c r="M509" s="40">
        <v>97292.61</v>
      </c>
      <c r="N509" s="40">
        <v>2485360.11</v>
      </c>
      <c r="O509" s="33">
        <f t="shared" si="63"/>
        <v>4.37</v>
      </c>
      <c r="P509" s="34">
        <f t="shared" si="61"/>
        <v>75.8321200311769</v>
      </c>
      <c r="Q509" s="35">
        <f t="shared" si="62"/>
        <v>25.5452095488033</v>
      </c>
      <c r="R509" s="35">
        <f t="shared" si="64"/>
        <v>12.972348</v>
      </c>
      <c r="S509" s="33">
        <f t="shared" si="65"/>
        <v>566.28</v>
      </c>
      <c r="T509" s="36">
        <f t="shared" si="66"/>
        <v>2454.52</v>
      </c>
    </row>
    <row r="510" spans="1:20">
      <c r="A510" s="28">
        <v>45738</v>
      </c>
      <c r="B510" s="29" t="s">
        <v>885</v>
      </c>
      <c r="C510" s="29" t="s">
        <v>886</v>
      </c>
      <c r="D510" s="29" t="s">
        <v>887</v>
      </c>
      <c r="E510" s="29" t="s">
        <v>1573</v>
      </c>
      <c r="F510" s="29">
        <f t="shared" si="59"/>
        <v>2025</v>
      </c>
      <c r="G510" s="29" t="str">
        <f t="shared" si="60"/>
        <v>March</v>
      </c>
      <c r="H510" s="30">
        <v>299755</v>
      </c>
      <c r="I510" s="30">
        <v>10495</v>
      </c>
      <c r="J510" s="31">
        <v>1933</v>
      </c>
      <c r="K510" s="31">
        <v>948</v>
      </c>
      <c r="L510" s="31">
        <v>547</v>
      </c>
      <c r="M510" s="32">
        <v>136254.79</v>
      </c>
      <c r="N510" s="32">
        <v>3682668.74</v>
      </c>
      <c r="O510" s="33">
        <f t="shared" si="63"/>
        <v>3.5</v>
      </c>
      <c r="P510" s="34">
        <f t="shared" si="61"/>
        <v>70.4887687532333</v>
      </c>
      <c r="Q510" s="35">
        <f t="shared" si="62"/>
        <v>27.0278112057565</v>
      </c>
      <c r="R510" s="35">
        <f t="shared" si="64"/>
        <v>12.9828289661744</v>
      </c>
      <c r="S510" s="33">
        <f t="shared" si="65"/>
        <v>454.55</v>
      </c>
      <c r="T510" s="36">
        <f t="shared" si="66"/>
        <v>2602.78</v>
      </c>
    </row>
    <row r="511" spans="1:20">
      <c r="A511" s="37">
        <v>45739</v>
      </c>
      <c r="B511" s="38" t="s">
        <v>885</v>
      </c>
      <c r="C511" s="38" t="s">
        <v>886</v>
      </c>
      <c r="D511" s="38" t="s">
        <v>887</v>
      </c>
      <c r="E511" s="38" t="s">
        <v>1573</v>
      </c>
      <c r="F511" s="38">
        <f t="shared" si="59"/>
        <v>2025</v>
      </c>
      <c r="G511" s="38" t="str">
        <f t="shared" si="60"/>
        <v>March</v>
      </c>
      <c r="H511" s="30">
        <v>196757</v>
      </c>
      <c r="I511" s="30">
        <v>9869</v>
      </c>
      <c r="J511" s="39">
        <v>2126</v>
      </c>
      <c r="K511" s="39">
        <v>1008</v>
      </c>
      <c r="L511" s="39">
        <v>595</v>
      </c>
      <c r="M511" s="40">
        <v>188439.06</v>
      </c>
      <c r="N511" s="40">
        <v>4032011.13</v>
      </c>
      <c r="O511" s="33">
        <f t="shared" si="63"/>
        <v>5.02</v>
      </c>
      <c r="P511" s="34">
        <f t="shared" si="61"/>
        <v>88.6354938852305</v>
      </c>
      <c r="Q511" s="35">
        <f t="shared" si="62"/>
        <v>21.3968968535504</v>
      </c>
      <c r="R511" s="35">
        <f t="shared" si="64"/>
        <v>19.0940378964434</v>
      </c>
      <c r="S511" s="33">
        <f t="shared" si="65"/>
        <v>957.72</v>
      </c>
      <c r="T511" s="36">
        <f t="shared" si="66"/>
        <v>2039.69</v>
      </c>
    </row>
    <row r="512" spans="1:20">
      <c r="A512" s="28">
        <v>45740</v>
      </c>
      <c r="B512" s="29" t="s">
        <v>885</v>
      </c>
      <c r="C512" s="29" t="s">
        <v>886</v>
      </c>
      <c r="D512" s="29" t="s">
        <v>887</v>
      </c>
      <c r="E512" s="29" t="s">
        <v>1572</v>
      </c>
      <c r="F512" s="29">
        <f t="shared" si="59"/>
        <v>2025</v>
      </c>
      <c r="G512" s="29" t="str">
        <f t="shared" si="60"/>
        <v>March</v>
      </c>
      <c r="H512" s="30">
        <v>99084</v>
      </c>
      <c r="I512" s="30">
        <v>7882</v>
      </c>
      <c r="J512" s="31">
        <v>1585</v>
      </c>
      <c r="K512" s="31">
        <v>875</v>
      </c>
      <c r="L512" s="31">
        <v>446</v>
      </c>
      <c r="M512" s="32">
        <v>56260.32</v>
      </c>
      <c r="N512" s="32">
        <v>3403228.57</v>
      </c>
      <c r="O512" s="33">
        <f t="shared" si="63"/>
        <v>7.95</v>
      </c>
      <c r="P512" s="34">
        <f t="shared" si="61"/>
        <v>35.4954700315457</v>
      </c>
      <c r="Q512" s="35">
        <f t="shared" si="62"/>
        <v>60.4907432094236</v>
      </c>
      <c r="R512" s="35">
        <f t="shared" si="64"/>
        <v>7.13782288759198</v>
      </c>
      <c r="S512" s="33">
        <f t="shared" si="65"/>
        <v>567.8</v>
      </c>
      <c r="T512" s="36">
        <f t="shared" si="66"/>
        <v>5949.07</v>
      </c>
    </row>
    <row r="513" spans="1:20">
      <c r="A513" s="37">
        <v>45741</v>
      </c>
      <c r="B513" s="38" t="s">
        <v>885</v>
      </c>
      <c r="C513" s="38" t="s">
        <v>886</v>
      </c>
      <c r="D513" s="38" t="s">
        <v>887</v>
      </c>
      <c r="E513" s="38" t="s">
        <v>1572</v>
      </c>
      <c r="F513" s="38">
        <f t="shared" si="59"/>
        <v>2025</v>
      </c>
      <c r="G513" s="38" t="str">
        <f t="shared" si="60"/>
        <v>March</v>
      </c>
      <c r="H513" s="30">
        <v>151038</v>
      </c>
      <c r="I513" s="30">
        <v>4667</v>
      </c>
      <c r="J513" s="39">
        <v>856</v>
      </c>
      <c r="K513" s="39">
        <v>417</v>
      </c>
      <c r="L513" s="39">
        <v>238</v>
      </c>
      <c r="M513" s="40">
        <v>81008.29</v>
      </c>
      <c r="N513" s="40">
        <v>1443400.51</v>
      </c>
      <c r="O513" s="33">
        <f t="shared" si="63"/>
        <v>3.09</v>
      </c>
      <c r="P513" s="34">
        <f t="shared" si="61"/>
        <v>94.6358528037383</v>
      </c>
      <c r="Q513" s="35">
        <f t="shared" si="62"/>
        <v>17.8179357939786</v>
      </c>
      <c r="R513" s="35">
        <f t="shared" si="64"/>
        <v>17.3576794514677</v>
      </c>
      <c r="S513" s="33">
        <f t="shared" si="65"/>
        <v>536.34</v>
      </c>
      <c r="T513" s="36">
        <f t="shared" si="66"/>
        <v>1681.79</v>
      </c>
    </row>
    <row r="514" spans="1:20">
      <c r="A514" s="28">
        <v>45742</v>
      </c>
      <c r="B514" s="29" t="s">
        <v>885</v>
      </c>
      <c r="C514" s="29" t="s">
        <v>886</v>
      </c>
      <c r="D514" s="29" t="s">
        <v>887</v>
      </c>
      <c r="E514" s="29" t="s">
        <v>1572</v>
      </c>
      <c r="F514" s="29">
        <f t="shared" ref="F514:F577" si="67">YEAR(A514)</f>
        <v>2025</v>
      </c>
      <c r="G514" s="29" t="str">
        <f t="shared" ref="G514:G577" si="68">TEXT(A514,"mmmm")</f>
        <v>March</v>
      </c>
      <c r="H514" s="30">
        <v>261569</v>
      </c>
      <c r="I514" s="30">
        <v>10863</v>
      </c>
      <c r="J514" s="31">
        <v>2582</v>
      </c>
      <c r="K514" s="31">
        <v>1521</v>
      </c>
      <c r="L514" s="31">
        <v>869</v>
      </c>
      <c r="M514" s="32">
        <v>245885.34</v>
      </c>
      <c r="N514" s="32">
        <v>3687397.28</v>
      </c>
      <c r="O514" s="33">
        <f t="shared" si="63"/>
        <v>4.15</v>
      </c>
      <c r="P514" s="34">
        <f t="shared" ref="P514:P577" si="69">M514/J514</f>
        <v>95.2305731990705</v>
      </c>
      <c r="Q514" s="35">
        <f t="shared" ref="Q514:Q577" si="70">N514/M514</f>
        <v>14.9964096273491</v>
      </c>
      <c r="R514" s="35">
        <f t="shared" si="64"/>
        <v>22.6351228942281</v>
      </c>
      <c r="S514" s="33">
        <f t="shared" si="65"/>
        <v>940.04</v>
      </c>
      <c r="T514" s="36">
        <f t="shared" si="66"/>
        <v>1399.64</v>
      </c>
    </row>
    <row r="515" spans="1:20">
      <c r="A515" s="37">
        <v>45743</v>
      </c>
      <c r="B515" s="38" t="s">
        <v>885</v>
      </c>
      <c r="C515" s="38" t="s">
        <v>886</v>
      </c>
      <c r="D515" s="38" t="s">
        <v>887</v>
      </c>
      <c r="E515" s="38" t="s">
        <v>1572</v>
      </c>
      <c r="F515" s="38">
        <f t="shared" si="67"/>
        <v>2025</v>
      </c>
      <c r="G515" s="38" t="str">
        <f t="shared" si="68"/>
        <v>March</v>
      </c>
      <c r="H515" s="30">
        <v>242681</v>
      </c>
      <c r="I515" s="30">
        <v>16801</v>
      </c>
      <c r="J515" s="39">
        <v>3043</v>
      </c>
      <c r="K515" s="39">
        <v>1834</v>
      </c>
      <c r="L515" s="39">
        <v>1029</v>
      </c>
      <c r="M515" s="40">
        <v>237908.01</v>
      </c>
      <c r="N515" s="40">
        <v>7686272.07</v>
      </c>
      <c r="O515" s="33">
        <f t="shared" ref="O515:O578" si="71">ROUND(I515/H515*100,2)</f>
        <v>6.92</v>
      </c>
      <c r="P515" s="34">
        <f t="shared" si="69"/>
        <v>78.1820604666448</v>
      </c>
      <c r="Q515" s="35">
        <f t="shared" si="70"/>
        <v>32.3077481502199</v>
      </c>
      <c r="R515" s="35">
        <f t="shared" si="64"/>
        <v>14.1603481935599</v>
      </c>
      <c r="S515" s="33">
        <f t="shared" si="65"/>
        <v>980.33</v>
      </c>
      <c r="T515" s="36">
        <f t="shared" si="66"/>
        <v>3130.77</v>
      </c>
    </row>
    <row r="516" spans="1:20">
      <c r="A516" s="28">
        <v>45744</v>
      </c>
      <c r="B516" s="29" t="s">
        <v>885</v>
      </c>
      <c r="C516" s="29" t="s">
        <v>886</v>
      </c>
      <c r="D516" s="29" t="s">
        <v>887</v>
      </c>
      <c r="E516" s="29" t="s">
        <v>1571</v>
      </c>
      <c r="F516" s="29">
        <f t="shared" si="67"/>
        <v>2025</v>
      </c>
      <c r="G516" s="29" t="str">
        <f t="shared" si="68"/>
        <v>March</v>
      </c>
      <c r="H516" s="30">
        <v>141344</v>
      </c>
      <c r="I516" s="30">
        <v>6626</v>
      </c>
      <c r="J516" s="31">
        <v>1362</v>
      </c>
      <c r="K516" s="31">
        <v>827</v>
      </c>
      <c r="L516" s="31">
        <v>451</v>
      </c>
      <c r="M516" s="32">
        <v>134141.85</v>
      </c>
      <c r="N516" s="32">
        <v>1833931.99</v>
      </c>
      <c r="O516" s="33">
        <f t="shared" si="71"/>
        <v>4.69</v>
      </c>
      <c r="P516" s="34">
        <f t="shared" si="69"/>
        <v>98.4888766519824</v>
      </c>
      <c r="Q516" s="35">
        <f t="shared" si="70"/>
        <v>13.6715871295945</v>
      </c>
      <c r="R516" s="35">
        <f t="shared" si="64"/>
        <v>20.2447706006641</v>
      </c>
      <c r="S516" s="33">
        <f t="shared" si="65"/>
        <v>949.05</v>
      </c>
      <c r="T516" s="36">
        <f t="shared" si="66"/>
        <v>1267.16</v>
      </c>
    </row>
    <row r="517" spans="1:20">
      <c r="A517" s="37">
        <v>45745</v>
      </c>
      <c r="B517" s="38" t="s">
        <v>885</v>
      </c>
      <c r="C517" s="38" t="s">
        <v>886</v>
      </c>
      <c r="D517" s="38" t="s">
        <v>887</v>
      </c>
      <c r="E517" s="38" t="s">
        <v>1572</v>
      </c>
      <c r="F517" s="38">
        <f t="shared" si="67"/>
        <v>2025</v>
      </c>
      <c r="G517" s="38" t="str">
        <f t="shared" si="68"/>
        <v>March</v>
      </c>
      <c r="H517" s="30">
        <v>229820</v>
      </c>
      <c r="I517" s="30">
        <v>11047</v>
      </c>
      <c r="J517" s="39">
        <v>2019</v>
      </c>
      <c r="K517" s="39">
        <v>1120</v>
      </c>
      <c r="L517" s="39">
        <v>565</v>
      </c>
      <c r="M517" s="40">
        <v>204934.93</v>
      </c>
      <c r="N517" s="40">
        <v>2057874.91</v>
      </c>
      <c r="O517" s="33">
        <f t="shared" si="71"/>
        <v>4.81</v>
      </c>
      <c r="P517" s="34">
        <f t="shared" si="69"/>
        <v>101.503184744923</v>
      </c>
      <c r="Q517" s="35">
        <f t="shared" si="70"/>
        <v>10.041601546403</v>
      </c>
      <c r="R517" s="35">
        <f t="shared" si="64"/>
        <v>18.5511840318639</v>
      </c>
      <c r="S517" s="33">
        <f t="shared" si="65"/>
        <v>891.72</v>
      </c>
      <c r="T517" s="36">
        <f t="shared" si="66"/>
        <v>904.16</v>
      </c>
    </row>
    <row r="518" spans="1:20">
      <c r="A518" s="28">
        <v>45746</v>
      </c>
      <c r="B518" s="29" t="s">
        <v>885</v>
      </c>
      <c r="C518" s="29" t="s">
        <v>886</v>
      </c>
      <c r="D518" s="29" t="s">
        <v>887</v>
      </c>
      <c r="E518" s="29" t="s">
        <v>1573</v>
      </c>
      <c r="F518" s="29">
        <f t="shared" si="67"/>
        <v>2025</v>
      </c>
      <c r="G518" s="29" t="str">
        <f t="shared" si="68"/>
        <v>March</v>
      </c>
      <c r="H518" s="30">
        <v>67576</v>
      </c>
      <c r="I518" s="30">
        <v>2896</v>
      </c>
      <c r="J518" s="31">
        <v>633</v>
      </c>
      <c r="K518" s="31">
        <v>348</v>
      </c>
      <c r="L518" s="31">
        <v>156</v>
      </c>
      <c r="M518" s="32">
        <v>59665.14</v>
      </c>
      <c r="N518" s="32">
        <v>761451.63</v>
      </c>
      <c r="O518" s="33">
        <f t="shared" si="71"/>
        <v>4.29</v>
      </c>
      <c r="P518" s="34">
        <f t="shared" si="69"/>
        <v>94.2577251184834</v>
      </c>
      <c r="Q518" s="35">
        <f t="shared" si="70"/>
        <v>12.7620857002933</v>
      </c>
      <c r="R518" s="35">
        <f t="shared" si="64"/>
        <v>20.6026035911602</v>
      </c>
      <c r="S518" s="33">
        <f t="shared" si="65"/>
        <v>882.93</v>
      </c>
      <c r="T518" s="36">
        <f t="shared" si="66"/>
        <v>1176.21</v>
      </c>
    </row>
    <row r="519" spans="1:20">
      <c r="A519" s="37">
        <v>45747</v>
      </c>
      <c r="B519" s="38" t="s">
        <v>885</v>
      </c>
      <c r="C519" s="38" t="s">
        <v>886</v>
      </c>
      <c r="D519" s="38" t="s">
        <v>887</v>
      </c>
      <c r="E519" s="38" t="s">
        <v>1572</v>
      </c>
      <c r="F519" s="38">
        <f t="shared" si="67"/>
        <v>2025</v>
      </c>
      <c r="G519" s="38" t="str">
        <f t="shared" si="68"/>
        <v>March</v>
      </c>
      <c r="H519" s="30">
        <v>203412</v>
      </c>
      <c r="I519" s="30">
        <v>13404</v>
      </c>
      <c r="J519" s="39">
        <v>3282</v>
      </c>
      <c r="K519" s="39">
        <v>1607</v>
      </c>
      <c r="L519" s="39">
        <v>645</v>
      </c>
      <c r="M519" s="40">
        <v>201828.55</v>
      </c>
      <c r="N519" s="40">
        <v>2389203.56</v>
      </c>
      <c r="O519" s="33">
        <f t="shared" si="71"/>
        <v>6.59</v>
      </c>
      <c r="P519" s="34">
        <f t="shared" si="69"/>
        <v>61.4955971968312</v>
      </c>
      <c r="Q519" s="35">
        <f t="shared" si="70"/>
        <v>11.8377878649973</v>
      </c>
      <c r="R519" s="35">
        <f t="shared" si="64"/>
        <v>15.0573373619815</v>
      </c>
      <c r="S519" s="33">
        <f t="shared" si="65"/>
        <v>992.22</v>
      </c>
      <c r="T519" s="36">
        <f t="shared" si="66"/>
        <v>1083.78</v>
      </c>
    </row>
    <row r="520" spans="1:20">
      <c r="A520" s="28">
        <v>45661</v>
      </c>
      <c r="B520" s="29" t="s">
        <v>885</v>
      </c>
      <c r="C520" s="29" t="s">
        <v>886</v>
      </c>
      <c r="D520" s="29" t="s">
        <v>887</v>
      </c>
      <c r="E520" s="29" t="s">
        <v>1572</v>
      </c>
      <c r="F520" s="29">
        <f t="shared" si="67"/>
        <v>2025</v>
      </c>
      <c r="G520" s="29" t="str">
        <f t="shared" si="68"/>
        <v>January</v>
      </c>
      <c r="H520" s="30">
        <v>188004</v>
      </c>
      <c r="I520" s="30">
        <v>6449</v>
      </c>
      <c r="J520" s="31">
        <v>1209</v>
      </c>
      <c r="K520" s="31">
        <v>590</v>
      </c>
      <c r="L520" s="31">
        <v>328</v>
      </c>
      <c r="M520" s="32">
        <v>130079.38</v>
      </c>
      <c r="N520" s="32">
        <v>1460235.88</v>
      </c>
      <c r="O520" s="33">
        <f t="shared" si="71"/>
        <v>3.43</v>
      </c>
      <c r="P520" s="34">
        <f t="shared" si="69"/>
        <v>107.592539288668</v>
      </c>
      <c r="Q520" s="35">
        <f t="shared" si="70"/>
        <v>11.2257290894222</v>
      </c>
      <c r="R520" s="35">
        <f t="shared" si="64"/>
        <v>20.1704729415413</v>
      </c>
      <c r="S520" s="33">
        <f t="shared" si="65"/>
        <v>691.9</v>
      </c>
      <c r="T520" s="36">
        <f t="shared" si="66"/>
        <v>1022.57</v>
      </c>
    </row>
    <row r="521" spans="1:20">
      <c r="A521" s="37">
        <v>45692</v>
      </c>
      <c r="B521" s="38" t="s">
        <v>885</v>
      </c>
      <c r="C521" s="38" t="s">
        <v>886</v>
      </c>
      <c r="D521" s="38" t="s">
        <v>887</v>
      </c>
      <c r="E521" s="38" t="s">
        <v>1572</v>
      </c>
      <c r="F521" s="38">
        <f t="shared" si="67"/>
        <v>2025</v>
      </c>
      <c r="G521" s="38" t="str">
        <f t="shared" si="68"/>
        <v>February</v>
      </c>
      <c r="H521" s="30">
        <v>126338</v>
      </c>
      <c r="I521" s="30">
        <v>5512</v>
      </c>
      <c r="J521" s="39">
        <v>1277</v>
      </c>
      <c r="K521" s="39">
        <v>670</v>
      </c>
      <c r="L521" s="39">
        <v>387</v>
      </c>
      <c r="M521" s="40">
        <v>68197.68</v>
      </c>
      <c r="N521" s="40">
        <v>1772957.17</v>
      </c>
      <c r="O521" s="33">
        <f t="shared" si="71"/>
        <v>4.36</v>
      </c>
      <c r="P521" s="34">
        <f t="shared" si="69"/>
        <v>53.4046045418951</v>
      </c>
      <c r="Q521" s="35">
        <f t="shared" si="70"/>
        <v>25.9973238092557</v>
      </c>
      <c r="R521" s="35">
        <f t="shared" si="64"/>
        <v>12.3725834542816</v>
      </c>
      <c r="S521" s="33">
        <f t="shared" si="65"/>
        <v>539.8</v>
      </c>
      <c r="T521" s="36">
        <f t="shared" si="66"/>
        <v>2499.73</v>
      </c>
    </row>
    <row r="522" spans="1:20">
      <c r="A522" s="28">
        <v>45720</v>
      </c>
      <c r="B522" s="29" t="s">
        <v>885</v>
      </c>
      <c r="C522" s="29" t="s">
        <v>886</v>
      </c>
      <c r="D522" s="29" t="s">
        <v>887</v>
      </c>
      <c r="E522" s="29" t="s">
        <v>1572</v>
      </c>
      <c r="F522" s="29">
        <f t="shared" si="67"/>
        <v>2025</v>
      </c>
      <c r="G522" s="29" t="str">
        <f t="shared" si="68"/>
        <v>March</v>
      </c>
      <c r="H522" s="30">
        <v>183191</v>
      </c>
      <c r="I522" s="30">
        <v>6099</v>
      </c>
      <c r="J522" s="31">
        <v>1415</v>
      </c>
      <c r="K522" s="31">
        <v>770</v>
      </c>
      <c r="L522" s="31">
        <v>397</v>
      </c>
      <c r="M522" s="32">
        <v>74337.41</v>
      </c>
      <c r="N522" s="32">
        <v>1467961.39</v>
      </c>
      <c r="O522" s="33">
        <f t="shared" si="71"/>
        <v>3.33</v>
      </c>
      <c r="P522" s="34">
        <f t="shared" si="69"/>
        <v>52.5352720848057</v>
      </c>
      <c r="Q522" s="35">
        <f t="shared" si="70"/>
        <v>19.747276505867</v>
      </c>
      <c r="R522" s="35">
        <f t="shared" si="64"/>
        <v>12.1884587637318</v>
      </c>
      <c r="S522" s="33">
        <f t="shared" si="65"/>
        <v>405.79</v>
      </c>
      <c r="T522" s="36">
        <f t="shared" si="66"/>
        <v>1874.73</v>
      </c>
    </row>
    <row r="523" spans="1:20">
      <c r="A523" s="37">
        <v>45751</v>
      </c>
      <c r="B523" s="38" t="s">
        <v>885</v>
      </c>
      <c r="C523" s="38" t="s">
        <v>886</v>
      </c>
      <c r="D523" s="38" t="s">
        <v>887</v>
      </c>
      <c r="E523" s="38" t="s">
        <v>1572</v>
      </c>
      <c r="F523" s="38">
        <f t="shared" si="67"/>
        <v>2025</v>
      </c>
      <c r="G523" s="38" t="str">
        <f t="shared" si="68"/>
        <v>April</v>
      </c>
      <c r="H523" s="30">
        <v>84849</v>
      </c>
      <c r="I523" s="30">
        <v>3217</v>
      </c>
      <c r="J523" s="39">
        <v>556</v>
      </c>
      <c r="K523" s="39">
        <v>340</v>
      </c>
      <c r="L523" s="39">
        <v>176</v>
      </c>
      <c r="M523" s="40">
        <v>58482.3</v>
      </c>
      <c r="N523" s="40">
        <v>1379402.49</v>
      </c>
      <c r="O523" s="33">
        <f t="shared" si="71"/>
        <v>3.79</v>
      </c>
      <c r="P523" s="34">
        <f t="shared" si="69"/>
        <v>105.183992805755</v>
      </c>
      <c r="Q523" s="35">
        <f t="shared" si="70"/>
        <v>23.5866662220877</v>
      </c>
      <c r="R523" s="35">
        <f t="shared" si="64"/>
        <v>18.1791420578178</v>
      </c>
      <c r="S523" s="33">
        <f t="shared" si="65"/>
        <v>689.25</v>
      </c>
      <c r="T523" s="36">
        <f t="shared" si="66"/>
        <v>2258.67</v>
      </c>
    </row>
    <row r="524" spans="1:20">
      <c r="A524" s="28">
        <v>45781</v>
      </c>
      <c r="B524" s="29" t="s">
        <v>885</v>
      </c>
      <c r="C524" s="29" t="s">
        <v>886</v>
      </c>
      <c r="D524" s="29" t="s">
        <v>887</v>
      </c>
      <c r="E524" s="29" t="s">
        <v>1573</v>
      </c>
      <c r="F524" s="29">
        <f t="shared" si="67"/>
        <v>2025</v>
      </c>
      <c r="G524" s="29" t="str">
        <f t="shared" si="68"/>
        <v>May</v>
      </c>
      <c r="H524" s="30">
        <v>197504</v>
      </c>
      <c r="I524" s="30">
        <v>8509</v>
      </c>
      <c r="J524" s="31">
        <v>1516</v>
      </c>
      <c r="K524" s="31">
        <v>789</v>
      </c>
      <c r="L524" s="31">
        <v>455</v>
      </c>
      <c r="M524" s="32">
        <v>104867.15</v>
      </c>
      <c r="N524" s="32">
        <v>3305228.65</v>
      </c>
      <c r="O524" s="33">
        <f t="shared" si="71"/>
        <v>4.31</v>
      </c>
      <c r="P524" s="34">
        <f t="shared" si="69"/>
        <v>69.1735817941952</v>
      </c>
      <c r="Q524" s="35">
        <f t="shared" si="70"/>
        <v>31.5182461810014</v>
      </c>
      <c r="R524" s="35">
        <f t="shared" si="64"/>
        <v>12.32426254554</v>
      </c>
      <c r="S524" s="33">
        <f t="shared" si="65"/>
        <v>530.96</v>
      </c>
      <c r="T524" s="36">
        <f t="shared" si="66"/>
        <v>3051.82</v>
      </c>
    </row>
    <row r="525" spans="1:20">
      <c r="A525" s="37">
        <v>45812</v>
      </c>
      <c r="B525" s="38" t="s">
        <v>885</v>
      </c>
      <c r="C525" s="38" t="s">
        <v>886</v>
      </c>
      <c r="D525" s="38" t="s">
        <v>887</v>
      </c>
      <c r="E525" s="38" t="s">
        <v>1573</v>
      </c>
      <c r="F525" s="38">
        <f t="shared" si="67"/>
        <v>2025</v>
      </c>
      <c r="G525" s="38" t="str">
        <f t="shared" si="68"/>
        <v>June</v>
      </c>
      <c r="H525" s="30">
        <v>69154</v>
      </c>
      <c r="I525" s="30">
        <v>4707</v>
      </c>
      <c r="J525" s="39">
        <v>1042</v>
      </c>
      <c r="K525" s="39">
        <v>628</v>
      </c>
      <c r="L525" s="39">
        <v>284</v>
      </c>
      <c r="M525" s="40">
        <v>35916.58</v>
      </c>
      <c r="N525" s="40">
        <v>1254290.1</v>
      </c>
      <c r="O525" s="33">
        <f t="shared" si="71"/>
        <v>6.81</v>
      </c>
      <c r="P525" s="34">
        <f t="shared" si="69"/>
        <v>34.468886756238</v>
      </c>
      <c r="Q525" s="35">
        <f t="shared" si="70"/>
        <v>34.9223144297146</v>
      </c>
      <c r="R525" s="35">
        <f t="shared" si="64"/>
        <v>7.63046101550882</v>
      </c>
      <c r="S525" s="33">
        <f t="shared" si="65"/>
        <v>519.37</v>
      </c>
      <c r="T525" s="36">
        <f t="shared" si="66"/>
        <v>3392.23</v>
      </c>
    </row>
    <row r="526" spans="1:20">
      <c r="A526" s="28">
        <v>45842</v>
      </c>
      <c r="B526" s="29" t="s">
        <v>885</v>
      </c>
      <c r="C526" s="29" t="s">
        <v>886</v>
      </c>
      <c r="D526" s="29" t="s">
        <v>887</v>
      </c>
      <c r="E526" s="29" t="s">
        <v>1572</v>
      </c>
      <c r="F526" s="29">
        <f t="shared" si="67"/>
        <v>2025</v>
      </c>
      <c r="G526" s="29" t="str">
        <f t="shared" si="68"/>
        <v>July</v>
      </c>
      <c r="H526" s="30">
        <v>289761</v>
      </c>
      <c r="I526" s="30">
        <v>22640</v>
      </c>
      <c r="J526" s="31">
        <v>4750</v>
      </c>
      <c r="K526" s="31">
        <v>2972</v>
      </c>
      <c r="L526" s="31">
        <v>1259</v>
      </c>
      <c r="M526" s="32">
        <v>178162.37</v>
      </c>
      <c r="N526" s="32">
        <v>4800373.55</v>
      </c>
      <c r="O526" s="33">
        <f t="shared" si="71"/>
        <v>7.81</v>
      </c>
      <c r="P526" s="34">
        <f t="shared" si="69"/>
        <v>37.5078673684211</v>
      </c>
      <c r="Q526" s="35">
        <f t="shared" si="70"/>
        <v>26.9438128264683</v>
      </c>
      <c r="R526" s="35">
        <f t="shared" si="64"/>
        <v>7.86936263250883</v>
      </c>
      <c r="S526" s="33">
        <f t="shared" si="65"/>
        <v>614.86</v>
      </c>
      <c r="T526" s="36">
        <f t="shared" si="66"/>
        <v>2594.38</v>
      </c>
    </row>
    <row r="527" spans="1:20">
      <c r="A527" s="37">
        <v>45873</v>
      </c>
      <c r="B527" s="38" t="s">
        <v>885</v>
      </c>
      <c r="C527" s="38" t="s">
        <v>886</v>
      </c>
      <c r="D527" s="38" t="s">
        <v>887</v>
      </c>
      <c r="E527" s="38" t="s">
        <v>1572</v>
      </c>
      <c r="F527" s="38">
        <f t="shared" si="67"/>
        <v>2025</v>
      </c>
      <c r="G527" s="38" t="str">
        <f t="shared" si="68"/>
        <v>August</v>
      </c>
      <c r="H527" s="30">
        <v>110803</v>
      </c>
      <c r="I527" s="30">
        <v>4456</v>
      </c>
      <c r="J527" s="39">
        <v>876</v>
      </c>
      <c r="K527" s="39">
        <v>468</v>
      </c>
      <c r="L527" s="39">
        <v>219</v>
      </c>
      <c r="M527" s="40">
        <v>101061.77</v>
      </c>
      <c r="N527" s="40">
        <v>951963.17</v>
      </c>
      <c r="O527" s="33">
        <f t="shared" si="71"/>
        <v>4.02</v>
      </c>
      <c r="P527" s="34">
        <f t="shared" si="69"/>
        <v>115.367317351598</v>
      </c>
      <c r="Q527" s="35">
        <f t="shared" si="70"/>
        <v>9.41961703223682</v>
      </c>
      <c r="R527" s="35">
        <f t="shared" si="64"/>
        <v>22.6799304308797</v>
      </c>
      <c r="S527" s="33">
        <f t="shared" si="65"/>
        <v>912.09</v>
      </c>
      <c r="T527" s="36">
        <f t="shared" si="66"/>
        <v>841.96</v>
      </c>
    </row>
    <row r="528" spans="1:20">
      <c r="A528" s="28">
        <v>45904</v>
      </c>
      <c r="B528" s="29" t="s">
        <v>885</v>
      </c>
      <c r="C528" s="29" t="s">
        <v>886</v>
      </c>
      <c r="D528" s="29" t="s">
        <v>887</v>
      </c>
      <c r="E528" s="29" t="s">
        <v>1572</v>
      </c>
      <c r="F528" s="29">
        <f t="shared" si="67"/>
        <v>2025</v>
      </c>
      <c r="G528" s="29" t="str">
        <f t="shared" si="68"/>
        <v>September</v>
      </c>
      <c r="H528" s="30">
        <v>239425</v>
      </c>
      <c r="I528" s="30">
        <v>15902</v>
      </c>
      <c r="J528" s="31">
        <v>2926</v>
      </c>
      <c r="K528" s="31">
        <v>1870</v>
      </c>
      <c r="L528" s="31">
        <v>851</v>
      </c>
      <c r="M528" s="32">
        <v>148342.78</v>
      </c>
      <c r="N528" s="32">
        <v>5872468.48</v>
      </c>
      <c r="O528" s="33">
        <f t="shared" si="71"/>
        <v>6.64</v>
      </c>
      <c r="P528" s="34">
        <f t="shared" si="69"/>
        <v>50.6981476418319</v>
      </c>
      <c r="Q528" s="35">
        <f t="shared" si="70"/>
        <v>39.5871540225955</v>
      </c>
      <c r="R528" s="35">
        <f t="shared" si="64"/>
        <v>9.32856118727204</v>
      </c>
      <c r="S528" s="33">
        <f t="shared" si="65"/>
        <v>619.58</v>
      </c>
      <c r="T528" s="36">
        <f t="shared" si="66"/>
        <v>3858.72</v>
      </c>
    </row>
    <row r="529" spans="1:20">
      <c r="A529" s="37">
        <v>45934</v>
      </c>
      <c r="B529" s="38" t="s">
        <v>885</v>
      </c>
      <c r="C529" s="38" t="s">
        <v>886</v>
      </c>
      <c r="D529" s="38" t="s">
        <v>887</v>
      </c>
      <c r="E529" s="38" t="s">
        <v>1571</v>
      </c>
      <c r="F529" s="38">
        <f t="shared" si="67"/>
        <v>2025</v>
      </c>
      <c r="G529" s="38" t="str">
        <f t="shared" si="68"/>
        <v>October</v>
      </c>
      <c r="H529" s="30">
        <v>70240</v>
      </c>
      <c r="I529" s="30">
        <v>5540</v>
      </c>
      <c r="J529" s="39">
        <v>925</v>
      </c>
      <c r="K529" s="39">
        <v>577</v>
      </c>
      <c r="L529" s="39">
        <v>307</v>
      </c>
      <c r="M529" s="40">
        <v>40196.1</v>
      </c>
      <c r="N529" s="40">
        <v>1662472.27</v>
      </c>
      <c r="O529" s="33">
        <f t="shared" si="71"/>
        <v>7.89</v>
      </c>
      <c r="P529" s="34">
        <f t="shared" si="69"/>
        <v>43.4552432432432</v>
      </c>
      <c r="Q529" s="35">
        <f t="shared" si="70"/>
        <v>41.3590440366105</v>
      </c>
      <c r="R529" s="35">
        <f t="shared" si="64"/>
        <v>7.25561371841155</v>
      </c>
      <c r="S529" s="33">
        <f t="shared" si="65"/>
        <v>572.27</v>
      </c>
      <c r="T529" s="36">
        <f t="shared" si="66"/>
        <v>4035.9</v>
      </c>
    </row>
    <row r="530" spans="1:20">
      <c r="A530" s="28">
        <v>45965</v>
      </c>
      <c r="B530" s="29" t="s">
        <v>885</v>
      </c>
      <c r="C530" s="29" t="s">
        <v>886</v>
      </c>
      <c r="D530" s="29" t="s">
        <v>887</v>
      </c>
      <c r="E530" s="29" t="s">
        <v>1573</v>
      </c>
      <c r="F530" s="29">
        <f t="shared" si="67"/>
        <v>2025</v>
      </c>
      <c r="G530" s="29" t="str">
        <f t="shared" si="68"/>
        <v>November</v>
      </c>
      <c r="H530" s="30">
        <v>138678</v>
      </c>
      <c r="I530" s="30">
        <v>6834</v>
      </c>
      <c r="J530" s="31">
        <v>1173</v>
      </c>
      <c r="K530" s="31">
        <v>590</v>
      </c>
      <c r="L530" s="31">
        <v>294</v>
      </c>
      <c r="M530" s="32">
        <v>98499.51</v>
      </c>
      <c r="N530" s="32">
        <v>1157268.05</v>
      </c>
      <c r="O530" s="33">
        <f t="shared" si="71"/>
        <v>4.93</v>
      </c>
      <c r="P530" s="34">
        <f t="shared" si="69"/>
        <v>83.9723017902813</v>
      </c>
      <c r="Q530" s="35">
        <f t="shared" si="70"/>
        <v>11.748972659864</v>
      </c>
      <c r="R530" s="35">
        <f t="shared" si="64"/>
        <v>14.4131562774363</v>
      </c>
      <c r="S530" s="33">
        <f t="shared" si="65"/>
        <v>710.27</v>
      </c>
      <c r="T530" s="36">
        <f t="shared" si="66"/>
        <v>1074.9</v>
      </c>
    </row>
    <row r="531" spans="1:20">
      <c r="A531" s="37">
        <v>45995</v>
      </c>
      <c r="B531" s="38" t="s">
        <v>885</v>
      </c>
      <c r="C531" s="38" t="s">
        <v>886</v>
      </c>
      <c r="D531" s="38" t="s">
        <v>887</v>
      </c>
      <c r="E531" s="38" t="s">
        <v>1572</v>
      </c>
      <c r="F531" s="38">
        <f t="shared" si="67"/>
        <v>2025</v>
      </c>
      <c r="G531" s="38" t="str">
        <f t="shared" si="68"/>
        <v>December</v>
      </c>
      <c r="H531" s="30">
        <v>263247</v>
      </c>
      <c r="I531" s="30">
        <v>19300</v>
      </c>
      <c r="J531" s="39">
        <v>3627</v>
      </c>
      <c r="K531" s="39">
        <v>2251</v>
      </c>
      <c r="L531" s="39">
        <v>1126</v>
      </c>
      <c r="M531" s="40">
        <v>214028.74</v>
      </c>
      <c r="N531" s="40">
        <v>8518494.32</v>
      </c>
      <c r="O531" s="33">
        <f t="shared" si="71"/>
        <v>7.33</v>
      </c>
      <c r="P531" s="34">
        <f t="shared" si="69"/>
        <v>59.0098538737248</v>
      </c>
      <c r="Q531" s="35">
        <f t="shared" si="70"/>
        <v>39.8007030270795</v>
      </c>
      <c r="R531" s="35">
        <f t="shared" si="64"/>
        <v>11.0895720207254</v>
      </c>
      <c r="S531" s="33">
        <f t="shared" si="65"/>
        <v>813.03</v>
      </c>
      <c r="T531" s="36">
        <f t="shared" si="66"/>
        <v>3880.07</v>
      </c>
    </row>
    <row r="532" spans="1:20">
      <c r="A532" s="28">
        <v>45760</v>
      </c>
      <c r="B532" s="29" t="s">
        <v>885</v>
      </c>
      <c r="C532" s="29" t="s">
        <v>886</v>
      </c>
      <c r="D532" s="29" t="s">
        <v>887</v>
      </c>
      <c r="E532" s="29" t="s">
        <v>1571</v>
      </c>
      <c r="F532" s="29">
        <f t="shared" si="67"/>
        <v>2025</v>
      </c>
      <c r="G532" s="29" t="str">
        <f t="shared" si="68"/>
        <v>April</v>
      </c>
      <c r="H532" s="30">
        <v>171458</v>
      </c>
      <c r="I532" s="30">
        <v>10003</v>
      </c>
      <c r="J532" s="31">
        <v>1964</v>
      </c>
      <c r="K532" s="31">
        <v>1248</v>
      </c>
      <c r="L532" s="31">
        <v>648</v>
      </c>
      <c r="M532" s="32">
        <v>93164.51</v>
      </c>
      <c r="N532" s="32">
        <v>4778046.81</v>
      </c>
      <c r="O532" s="33">
        <f t="shared" si="71"/>
        <v>5.83</v>
      </c>
      <c r="P532" s="34">
        <f t="shared" si="69"/>
        <v>47.4361048879837</v>
      </c>
      <c r="Q532" s="35">
        <f t="shared" si="70"/>
        <v>51.2861261224902</v>
      </c>
      <c r="R532" s="35">
        <f t="shared" si="64"/>
        <v>9.31365690292912</v>
      </c>
      <c r="S532" s="33">
        <f t="shared" si="65"/>
        <v>543.37</v>
      </c>
      <c r="T532" s="36">
        <f t="shared" si="66"/>
        <v>5028.61</v>
      </c>
    </row>
    <row r="533" spans="1:20">
      <c r="A533" s="37">
        <v>45761</v>
      </c>
      <c r="B533" s="38" t="s">
        <v>885</v>
      </c>
      <c r="C533" s="38" t="s">
        <v>886</v>
      </c>
      <c r="D533" s="38" t="s">
        <v>887</v>
      </c>
      <c r="E533" s="38" t="s">
        <v>1572</v>
      </c>
      <c r="F533" s="38">
        <f t="shared" si="67"/>
        <v>2025</v>
      </c>
      <c r="G533" s="38" t="str">
        <f t="shared" si="68"/>
        <v>April</v>
      </c>
      <c r="H533" s="30">
        <v>172696</v>
      </c>
      <c r="I533" s="30">
        <v>13622</v>
      </c>
      <c r="J533" s="39">
        <v>2087</v>
      </c>
      <c r="K533" s="39">
        <v>1215</v>
      </c>
      <c r="L533" s="39">
        <v>682</v>
      </c>
      <c r="M533" s="40">
        <v>172286.34</v>
      </c>
      <c r="N533" s="40">
        <v>4380214.3</v>
      </c>
      <c r="O533" s="33">
        <f t="shared" si="71"/>
        <v>7.89</v>
      </c>
      <c r="P533" s="34">
        <f t="shared" si="69"/>
        <v>82.5521514135122</v>
      </c>
      <c r="Q533" s="35">
        <f t="shared" si="70"/>
        <v>25.4240371000974</v>
      </c>
      <c r="R533" s="35">
        <f t="shared" si="64"/>
        <v>12.6476537953311</v>
      </c>
      <c r="S533" s="33">
        <f t="shared" si="65"/>
        <v>997.63</v>
      </c>
      <c r="T533" s="36">
        <f t="shared" si="66"/>
        <v>2442.4</v>
      </c>
    </row>
    <row r="534" spans="1:20">
      <c r="A534" s="28">
        <v>45762</v>
      </c>
      <c r="B534" s="29" t="s">
        <v>885</v>
      </c>
      <c r="C534" s="29" t="s">
        <v>886</v>
      </c>
      <c r="D534" s="29" t="s">
        <v>887</v>
      </c>
      <c r="E534" s="29" t="s">
        <v>1571</v>
      </c>
      <c r="F534" s="29">
        <f t="shared" si="67"/>
        <v>2025</v>
      </c>
      <c r="G534" s="29" t="str">
        <f t="shared" si="68"/>
        <v>April</v>
      </c>
      <c r="H534" s="30">
        <v>254916</v>
      </c>
      <c r="I534" s="30">
        <v>18774</v>
      </c>
      <c r="J534" s="31">
        <v>2891</v>
      </c>
      <c r="K534" s="31">
        <v>1575</v>
      </c>
      <c r="L534" s="31">
        <v>935</v>
      </c>
      <c r="M534" s="32">
        <v>166572.55</v>
      </c>
      <c r="N534" s="32">
        <v>5819811.44</v>
      </c>
      <c r="O534" s="33">
        <f t="shared" si="71"/>
        <v>7.36</v>
      </c>
      <c r="P534" s="34">
        <f t="shared" si="69"/>
        <v>57.6176236596333</v>
      </c>
      <c r="Q534" s="35">
        <f t="shared" si="70"/>
        <v>34.9385984665541</v>
      </c>
      <c r="R534" s="35">
        <f t="shared" si="64"/>
        <v>8.87251251731117</v>
      </c>
      <c r="S534" s="33">
        <f t="shared" si="65"/>
        <v>653.44</v>
      </c>
      <c r="T534" s="36">
        <f t="shared" si="66"/>
        <v>3393.86</v>
      </c>
    </row>
    <row r="535" spans="1:20">
      <c r="A535" s="37">
        <v>45763</v>
      </c>
      <c r="B535" s="38" t="s">
        <v>885</v>
      </c>
      <c r="C535" s="38" t="s">
        <v>886</v>
      </c>
      <c r="D535" s="38" t="s">
        <v>887</v>
      </c>
      <c r="E535" s="38" t="s">
        <v>1571</v>
      </c>
      <c r="F535" s="38">
        <f t="shared" si="67"/>
        <v>2025</v>
      </c>
      <c r="G535" s="38" t="str">
        <f t="shared" si="68"/>
        <v>April</v>
      </c>
      <c r="H535" s="30">
        <v>297311</v>
      </c>
      <c r="I535" s="30">
        <v>12824</v>
      </c>
      <c r="J535" s="39">
        <v>2266</v>
      </c>
      <c r="K535" s="39">
        <v>1065</v>
      </c>
      <c r="L535" s="39">
        <v>566</v>
      </c>
      <c r="M535" s="40">
        <v>177196.19</v>
      </c>
      <c r="N535" s="40">
        <v>4455320.86</v>
      </c>
      <c r="O535" s="33">
        <f t="shared" si="71"/>
        <v>4.31</v>
      </c>
      <c r="P535" s="34">
        <f t="shared" si="69"/>
        <v>78.1977890556046</v>
      </c>
      <c r="Q535" s="35">
        <f t="shared" si="70"/>
        <v>25.1434348560203</v>
      </c>
      <c r="R535" s="35">
        <f t="shared" si="64"/>
        <v>13.8175444479102</v>
      </c>
      <c r="S535" s="33">
        <f t="shared" si="65"/>
        <v>596</v>
      </c>
      <c r="T535" s="36">
        <f t="shared" si="66"/>
        <v>2414.34</v>
      </c>
    </row>
    <row r="536" spans="1:20">
      <c r="A536" s="28">
        <v>45764</v>
      </c>
      <c r="B536" s="29" t="s">
        <v>885</v>
      </c>
      <c r="C536" s="29" t="s">
        <v>886</v>
      </c>
      <c r="D536" s="29" t="s">
        <v>887</v>
      </c>
      <c r="E536" s="29" t="s">
        <v>1572</v>
      </c>
      <c r="F536" s="29">
        <f t="shared" si="67"/>
        <v>2025</v>
      </c>
      <c r="G536" s="29" t="str">
        <f t="shared" si="68"/>
        <v>April</v>
      </c>
      <c r="H536" s="30">
        <v>187876</v>
      </c>
      <c r="I536" s="30">
        <v>14537</v>
      </c>
      <c r="J536" s="31">
        <v>3326</v>
      </c>
      <c r="K536" s="31">
        <v>1964</v>
      </c>
      <c r="L536" s="31">
        <v>1057</v>
      </c>
      <c r="M536" s="32">
        <v>100656.39</v>
      </c>
      <c r="N536" s="32">
        <v>4478372.76</v>
      </c>
      <c r="O536" s="33">
        <f t="shared" si="71"/>
        <v>7.74</v>
      </c>
      <c r="P536" s="34">
        <f t="shared" si="69"/>
        <v>30.263496692724</v>
      </c>
      <c r="Q536" s="35">
        <f t="shared" si="70"/>
        <v>44.4916886051646</v>
      </c>
      <c r="R536" s="35">
        <f t="shared" si="64"/>
        <v>6.92415147554516</v>
      </c>
      <c r="S536" s="33">
        <f t="shared" si="65"/>
        <v>535.76</v>
      </c>
      <c r="T536" s="36">
        <f t="shared" si="66"/>
        <v>4349.17</v>
      </c>
    </row>
    <row r="537" spans="1:20">
      <c r="A537" s="37">
        <v>45765</v>
      </c>
      <c r="B537" s="38" t="s">
        <v>885</v>
      </c>
      <c r="C537" s="38" t="s">
        <v>886</v>
      </c>
      <c r="D537" s="38" t="s">
        <v>887</v>
      </c>
      <c r="E537" s="38" t="s">
        <v>1571</v>
      </c>
      <c r="F537" s="38">
        <f t="shared" si="67"/>
        <v>2025</v>
      </c>
      <c r="G537" s="38" t="str">
        <f t="shared" si="68"/>
        <v>April</v>
      </c>
      <c r="H537" s="30">
        <v>286470</v>
      </c>
      <c r="I537" s="30">
        <v>17503</v>
      </c>
      <c r="J537" s="39">
        <v>2821</v>
      </c>
      <c r="K537" s="39">
        <v>1744</v>
      </c>
      <c r="L537" s="39">
        <v>734</v>
      </c>
      <c r="M537" s="40">
        <v>214086.95</v>
      </c>
      <c r="N537" s="40">
        <v>2364928.66</v>
      </c>
      <c r="O537" s="33">
        <f t="shared" si="71"/>
        <v>6.11</v>
      </c>
      <c r="P537" s="34">
        <f t="shared" si="69"/>
        <v>75.8904466501241</v>
      </c>
      <c r="Q537" s="35">
        <f t="shared" si="70"/>
        <v>11.0465801862281</v>
      </c>
      <c r="R537" s="35">
        <f t="shared" si="64"/>
        <v>12.2314431811689</v>
      </c>
      <c r="S537" s="33">
        <f t="shared" si="65"/>
        <v>747.33</v>
      </c>
      <c r="T537" s="36">
        <f t="shared" si="66"/>
        <v>1004.66</v>
      </c>
    </row>
    <row r="538" spans="1:20">
      <c r="A538" s="28">
        <v>45766</v>
      </c>
      <c r="B538" s="29" t="s">
        <v>885</v>
      </c>
      <c r="C538" s="29" t="s">
        <v>886</v>
      </c>
      <c r="D538" s="29" t="s">
        <v>887</v>
      </c>
      <c r="E538" s="29" t="s">
        <v>1572</v>
      </c>
      <c r="F538" s="29">
        <f t="shared" si="67"/>
        <v>2025</v>
      </c>
      <c r="G538" s="29" t="str">
        <f t="shared" si="68"/>
        <v>April</v>
      </c>
      <c r="H538" s="30">
        <v>162404</v>
      </c>
      <c r="I538" s="30">
        <v>11970</v>
      </c>
      <c r="J538" s="31">
        <v>2624</v>
      </c>
      <c r="K538" s="31">
        <v>1217</v>
      </c>
      <c r="L538" s="31">
        <v>633</v>
      </c>
      <c r="M538" s="32">
        <v>107823.72</v>
      </c>
      <c r="N538" s="32">
        <v>4731468.72</v>
      </c>
      <c r="O538" s="33">
        <f t="shared" si="71"/>
        <v>7.37</v>
      </c>
      <c r="P538" s="34">
        <f t="shared" si="69"/>
        <v>41.0913567073171</v>
      </c>
      <c r="Q538" s="35">
        <f t="shared" si="70"/>
        <v>43.8815199475588</v>
      </c>
      <c r="R538" s="35">
        <f t="shared" si="64"/>
        <v>9.00782957393484</v>
      </c>
      <c r="S538" s="33">
        <f t="shared" si="65"/>
        <v>663.92</v>
      </c>
      <c r="T538" s="36">
        <f t="shared" si="66"/>
        <v>4288.15</v>
      </c>
    </row>
    <row r="539" spans="1:20">
      <c r="A539" s="37">
        <v>45767</v>
      </c>
      <c r="B539" s="38" t="s">
        <v>885</v>
      </c>
      <c r="C539" s="38" t="s">
        <v>886</v>
      </c>
      <c r="D539" s="38" t="s">
        <v>887</v>
      </c>
      <c r="E539" s="38" t="s">
        <v>1573</v>
      </c>
      <c r="F539" s="38">
        <f t="shared" si="67"/>
        <v>2025</v>
      </c>
      <c r="G539" s="38" t="str">
        <f t="shared" si="68"/>
        <v>April</v>
      </c>
      <c r="H539" s="30">
        <v>70773</v>
      </c>
      <c r="I539" s="30">
        <v>2354</v>
      </c>
      <c r="J539" s="39">
        <v>502</v>
      </c>
      <c r="K539" s="39">
        <v>320</v>
      </c>
      <c r="L539" s="39">
        <v>137</v>
      </c>
      <c r="M539" s="40">
        <v>37944.95</v>
      </c>
      <c r="N539" s="40">
        <v>641296.64</v>
      </c>
      <c r="O539" s="33">
        <f t="shared" si="71"/>
        <v>3.33</v>
      </c>
      <c r="P539" s="34">
        <f t="shared" si="69"/>
        <v>75.5875498007968</v>
      </c>
      <c r="Q539" s="35">
        <f t="shared" si="70"/>
        <v>16.9007111618279</v>
      </c>
      <c r="R539" s="35">
        <f t="shared" si="64"/>
        <v>16.1193500424809</v>
      </c>
      <c r="S539" s="33">
        <f t="shared" si="65"/>
        <v>536.15</v>
      </c>
      <c r="T539" s="36">
        <f t="shared" si="66"/>
        <v>1590.07</v>
      </c>
    </row>
    <row r="540" spans="1:20">
      <c r="A540" s="28">
        <v>45768</v>
      </c>
      <c r="B540" s="29" t="s">
        <v>885</v>
      </c>
      <c r="C540" s="29" t="s">
        <v>886</v>
      </c>
      <c r="D540" s="29" t="s">
        <v>887</v>
      </c>
      <c r="E540" s="29" t="s">
        <v>1573</v>
      </c>
      <c r="F540" s="29">
        <f t="shared" si="67"/>
        <v>2025</v>
      </c>
      <c r="G540" s="29" t="str">
        <f t="shared" si="68"/>
        <v>April</v>
      </c>
      <c r="H540" s="30">
        <v>92159</v>
      </c>
      <c r="I540" s="30">
        <v>7283</v>
      </c>
      <c r="J540" s="31">
        <v>1706</v>
      </c>
      <c r="K540" s="31">
        <v>985</v>
      </c>
      <c r="L540" s="31">
        <v>420</v>
      </c>
      <c r="M540" s="32">
        <v>83018.34</v>
      </c>
      <c r="N540" s="32">
        <v>3155986.73</v>
      </c>
      <c r="O540" s="33">
        <f t="shared" si="71"/>
        <v>7.9</v>
      </c>
      <c r="P540" s="34">
        <f t="shared" si="69"/>
        <v>48.6625674091442</v>
      </c>
      <c r="Q540" s="35">
        <f t="shared" si="70"/>
        <v>38.0155364465249</v>
      </c>
      <c r="R540" s="35">
        <f t="shared" si="64"/>
        <v>11.3989207744062</v>
      </c>
      <c r="S540" s="33">
        <f t="shared" si="65"/>
        <v>900.82</v>
      </c>
      <c r="T540" s="36">
        <f t="shared" si="66"/>
        <v>3701.55</v>
      </c>
    </row>
    <row r="541" spans="1:20">
      <c r="A541" s="37">
        <v>45769</v>
      </c>
      <c r="B541" s="38" t="s">
        <v>885</v>
      </c>
      <c r="C541" s="38" t="s">
        <v>886</v>
      </c>
      <c r="D541" s="38" t="s">
        <v>887</v>
      </c>
      <c r="E541" s="38" t="s">
        <v>1571</v>
      </c>
      <c r="F541" s="38">
        <f t="shared" si="67"/>
        <v>2025</v>
      </c>
      <c r="G541" s="38" t="str">
        <f t="shared" si="68"/>
        <v>April</v>
      </c>
      <c r="H541" s="30">
        <v>214210</v>
      </c>
      <c r="I541" s="30">
        <v>12044</v>
      </c>
      <c r="J541" s="39">
        <v>2322</v>
      </c>
      <c r="K541" s="39">
        <v>1116</v>
      </c>
      <c r="L541" s="39">
        <v>510</v>
      </c>
      <c r="M541" s="40">
        <v>92410</v>
      </c>
      <c r="N541" s="40">
        <v>4047072.48</v>
      </c>
      <c r="O541" s="33">
        <f t="shared" si="71"/>
        <v>5.62</v>
      </c>
      <c r="P541" s="34">
        <f t="shared" si="69"/>
        <v>39.7975882859604</v>
      </c>
      <c r="Q541" s="35">
        <f t="shared" si="70"/>
        <v>43.7947460231577</v>
      </c>
      <c r="R541" s="35">
        <f t="shared" si="64"/>
        <v>7.67270009963467</v>
      </c>
      <c r="S541" s="33">
        <f t="shared" si="65"/>
        <v>431.4</v>
      </c>
      <c r="T541" s="36">
        <f t="shared" si="66"/>
        <v>4279.47</v>
      </c>
    </row>
    <row r="542" spans="1:20">
      <c r="A542" s="28">
        <v>45770</v>
      </c>
      <c r="B542" s="29" t="s">
        <v>885</v>
      </c>
      <c r="C542" s="29" t="s">
        <v>886</v>
      </c>
      <c r="D542" s="29" t="s">
        <v>887</v>
      </c>
      <c r="E542" s="29" t="s">
        <v>1571</v>
      </c>
      <c r="F542" s="29">
        <f t="shared" si="67"/>
        <v>2025</v>
      </c>
      <c r="G542" s="29" t="str">
        <f t="shared" si="68"/>
        <v>April</v>
      </c>
      <c r="H542" s="30">
        <v>89597</v>
      </c>
      <c r="I542" s="30">
        <v>3957</v>
      </c>
      <c r="J542" s="31">
        <v>914</v>
      </c>
      <c r="K542" s="31">
        <v>497</v>
      </c>
      <c r="L542" s="31">
        <v>220</v>
      </c>
      <c r="M542" s="32">
        <v>56902.12</v>
      </c>
      <c r="N542" s="32">
        <v>917613.33</v>
      </c>
      <c r="O542" s="33">
        <f t="shared" si="71"/>
        <v>4.42</v>
      </c>
      <c r="P542" s="34">
        <f t="shared" si="69"/>
        <v>62.2561487964989</v>
      </c>
      <c r="Q542" s="35">
        <f t="shared" si="70"/>
        <v>16.1261712217401</v>
      </c>
      <c r="R542" s="35">
        <f t="shared" si="64"/>
        <v>14.3801162496841</v>
      </c>
      <c r="S542" s="33">
        <f t="shared" si="65"/>
        <v>635.09</v>
      </c>
      <c r="T542" s="36">
        <f t="shared" si="66"/>
        <v>1512.62</v>
      </c>
    </row>
    <row r="543" spans="1:20">
      <c r="A543" s="37">
        <v>45771</v>
      </c>
      <c r="B543" s="38" t="s">
        <v>885</v>
      </c>
      <c r="C543" s="38" t="s">
        <v>886</v>
      </c>
      <c r="D543" s="38" t="s">
        <v>887</v>
      </c>
      <c r="E543" s="38" t="s">
        <v>1572</v>
      </c>
      <c r="F543" s="38">
        <f t="shared" si="67"/>
        <v>2025</v>
      </c>
      <c r="G543" s="38" t="str">
        <f t="shared" si="68"/>
        <v>April</v>
      </c>
      <c r="H543" s="30">
        <v>219815</v>
      </c>
      <c r="I543" s="30">
        <v>15931</v>
      </c>
      <c r="J543" s="39">
        <v>2530</v>
      </c>
      <c r="K543" s="39">
        <v>1544</v>
      </c>
      <c r="L543" s="39">
        <v>888</v>
      </c>
      <c r="M543" s="40">
        <v>106057.04</v>
      </c>
      <c r="N543" s="40">
        <v>6164863.67</v>
      </c>
      <c r="O543" s="33">
        <f t="shared" si="71"/>
        <v>7.25</v>
      </c>
      <c r="P543" s="34">
        <f t="shared" si="69"/>
        <v>41.9197786561265</v>
      </c>
      <c r="Q543" s="35">
        <f t="shared" si="70"/>
        <v>58.127811883115</v>
      </c>
      <c r="R543" s="35">
        <f t="shared" si="64"/>
        <v>6.65727449626514</v>
      </c>
      <c r="S543" s="33">
        <f t="shared" si="65"/>
        <v>482.48</v>
      </c>
      <c r="T543" s="36">
        <f t="shared" si="66"/>
        <v>5712.78</v>
      </c>
    </row>
    <row r="544" spans="1:20">
      <c r="A544" s="28">
        <v>45772</v>
      </c>
      <c r="B544" s="29" t="s">
        <v>885</v>
      </c>
      <c r="C544" s="29" t="s">
        <v>886</v>
      </c>
      <c r="D544" s="29" t="s">
        <v>887</v>
      </c>
      <c r="E544" s="29" t="s">
        <v>1571</v>
      </c>
      <c r="F544" s="29">
        <f t="shared" si="67"/>
        <v>2025</v>
      </c>
      <c r="G544" s="29" t="str">
        <f t="shared" si="68"/>
        <v>April</v>
      </c>
      <c r="H544" s="30">
        <v>155800</v>
      </c>
      <c r="I544" s="30">
        <v>6865</v>
      </c>
      <c r="J544" s="31">
        <v>1272</v>
      </c>
      <c r="K544" s="31">
        <v>765</v>
      </c>
      <c r="L544" s="31">
        <v>363</v>
      </c>
      <c r="M544" s="32">
        <v>69361.47</v>
      </c>
      <c r="N544" s="32">
        <v>1831892.26</v>
      </c>
      <c r="O544" s="33">
        <f t="shared" si="71"/>
        <v>4.41</v>
      </c>
      <c r="P544" s="34">
        <f t="shared" si="69"/>
        <v>54.5294575471698</v>
      </c>
      <c r="Q544" s="35">
        <f t="shared" si="70"/>
        <v>26.4108050189824</v>
      </c>
      <c r="R544" s="35">
        <f t="shared" si="64"/>
        <v>10.1036372906045</v>
      </c>
      <c r="S544" s="33">
        <f t="shared" si="65"/>
        <v>445.2</v>
      </c>
      <c r="T544" s="36">
        <f t="shared" si="66"/>
        <v>2541.08</v>
      </c>
    </row>
    <row r="545" spans="1:20">
      <c r="A545" s="37">
        <v>45773</v>
      </c>
      <c r="B545" s="38" t="s">
        <v>885</v>
      </c>
      <c r="C545" s="38" t="s">
        <v>886</v>
      </c>
      <c r="D545" s="38" t="s">
        <v>887</v>
      </c>
      <c r="E545" s="38" t="s">
        <v>1573</v>
      </c>
      <c r="F545" s="38">
        <f t="shared" si="67"/>
        <v>2025</v>
      </c>
      <c r="G545" s="38" t="str">
        <f t="shared" si="68"/>
        <v>April</v>
      </c>
      <c r="H545" s="30">
        <v>78865</v>
      </c>
      <c r="I545" s="30">
        <v>2545</v>
      </c>
      <c r="J545" s="39">
        <v>595</v>
      </c>
      <c r="K545" s="39">
        <v>378</v>
      </c>
      <c r="L545" s="39">
        <v>152</v>
      </c>
      <c r="M545" s="40">
        <v>70156.08</v>
      </c>
      <c r="N545" s="40">
        <v>1136108.87</v>
      </c>
      <c r="O545" s="33">
        <f t="shared" si="71"/>
        <v>3.23</v>
      </c>
      <c r="P545" s="34">
        <f t="shared" si="69"/>
        <v>117.909378151261</v>
      </c>
      <c r="Q545" s="35">
        <f t="shared" si="70"/>
        <v>16.1940186794929</v>
      </c>
      <c r="R545" s="35">
        <f t="shared" si="64"/>
        <v>27.5662396856582</v>
      </c>
      <c r="S545" s="33">
        <f t="shared" si="65"/>
        <v>889.57</v>
      </c>
      <c r="T545" s="36">
        <f t="shared" si="66"/>
        <v>1519.4</v>
      </c>
    </row>
    <row r="546" spans="1:20">
      <c r="A546" s="28">
        <v>45774</v>
      </c>
      <c r="B546" s="29" t="s">
        <v>885</v>
      </c>
      <c r="C546" s="29" t="s">
        <v>886</v>
      </c>
      <c r="D546" s="29" t="s">
        <v>887</v>
      </c>
      <c r="E546" s="29" t="s">
        <v>1573</v>
      </c>
      <c r="F546" s="29">
        <f t="shared" si="67"/>
        <v>2025</v>
      </c>
      <c r="G546" s="29" t="str">
        <f t="shared" si="68"/>
        <v>April</v>
      </c>
      <c r="H546" s="30">
        <v>106441</v>
      </c>
      <c r="I546" s="30">
        <v>7731</v>
      </c>
      <c r="J546" s="31">
        <v>1827</v>
      </c>
      <c r="K546" s="31">
        <v>1072</v>
      </c>
      <c r="L546" s="31">
        <v>449</v>
      </c>
      <c r="M546" s="32">
        <v>93059.67</v>
      </c>
      <c r="N546" s="32">
        <v>1626663.82</v>
      </c>
      <c r="O546" s="33">
        <f t="shared" si="71"/>
        <v>7.26</v>
      </c>
      <c r="P546" s="34">
        <f t="shared" si="69"/>
        <v>50.9357799671593</v>
      </c>
      <c r="Q546" s="35">
        <f t="shared" si="70"/>
        <v>17.479793556113</v>
      </c>
      <c r="R546" s="35">
        <f t="shared" si="64"/>
        <v>12.0372099340318</v>
      </c>
      <c r="S546" s="33">
        <f t="shared" si="65"/>
        <v>874.28</v>
      </c>
      <c r="T546" s="36">
        <f t="shared" si="66"/>
        <v>1647.98</v>
      </c>
    </row>
    <row r="547" spans="1:20">
      <c r="A547" s="37">
        <v>45775</v>
      </c>
      <c r="B547" s="38" t="s">
        <v>885</v>
      </c>
      <c r="C547" s="38" t="s">
        <v>886</v>
      </c>
      <c r="D547" s="38" t="s">
        <v>887</v>
      </c>
      <c r="E547" s="38" t="s">
        <v>1572</v>
      </c>
      <c r="F547" s="38">
        <f t="shared" si="67"/>
        <v>2025</v>
      </c>
      <c r="G547" s="38" t="str">
        <f t="shared" si="68"/>
        <v>April</v>
      </c>
      <c r="H547" s="30">
        <v>108582</v>
      </c>
      <c r="I547" s="30">
        <v>6075</v>
      </c>
      <c r="J547" s="39">
        <v>1445</v>
      </c>
      <c r="K547" s="39">
        <v>861</v>
      </c>
      <c r="L547" s="39">
        <v>472</v>
      </c>
      <c r="M547" s="40">
        <v>61991.73</v>
      </c>
      <c r="N547" s="40">
        <v>2863429.47</v>
      </c>
      <c r="O547" s="33">
        <f t="shared" si="71"/>
        <v>5.59</v>
      </c>
      <c r="P547" s="34">
        <f t="shared" si="69"/>
        <v>42.9008512110727</v>
      </c>
      <c r="Q547" s="35">
        <f t="shared" si="70"/>
        <v>46.1905075080176</v>
      </c>
      <c r="R547" s="35">
        <f t="shared" si="64"/>
        <v>10.2044</v>
      </c>
      <c r="S547" s="33">
        <f t="shared" si="65"/>
        <v>570.92</v>
      </c>
      <c r="T547" s="36">
        <f t="shared" si="66"/>
        <v>4519.05</v>
      </c>
    </row>
    <row r="548" spans="1:20">
      <c r="A548" s="28">
        <v>45776</v>
      </c>
      <c r="B548" s="29" t="s">
        <v>885</v>
      </c>
      <c r="C548" s="29" t="s">
        <v>886</v>
      </c>
      <c r="D548" s="29" t="s">
        <v>887</v>
      </c>
      <c r="E548" s="29" t="s">
        <v>1572</v>
      </c>
      <c r="F548" s="29">
        <f t="shared" si="67"/>
        <v>2025</v>
      </c>
      <c r="G548" s="29" t="str">
        <f t="shared" si="68"/>
        <v>April</v>
      </c>
      <c r="H548" s="30">
        <v>203313</v>
      </c>
      <c r="I548" s="30">
        <v>15538</v>
      </c>
      <c r="J548" s="31">
        <v>2353</v>
      </c>
      <c r="K548" s="31">
        <v>1144</v>
      </c>
      <c r="L548" s="31">
        <v>655</v>
      </c>
      <c r="M548" s="32">
        <v>145045.48</v>
      </c>
      <c r="N548" s="32">
        <v>4987053.71</v>
      </c>
      <c r="O548" s="33">
        <f t="shared" si="71"/>
        <v>7.64</v>
      </c>
      <c r="P548" s="34">
        <f t="shared" si="69"/>
        <v>61.6427879303017</v>
      </c>
      <c r="Q548" s="35">
        <f t="shared" si="70"/>
        <v>34.382689553649</v>
      </c>
      <c r="R548" s="35">
        <f t="shared" si="64"/>
        <v>9.33488737289226</v>
      </c>
      <c r="S548" s="33">
        <f t="shared" si="65"/>
        <v>713.41</v>
      </c>
      <c r="T548" s="36">
        <f t="shared" si="66"/>
        <v>3338.27</v>
      </c>
    </row>
    <row r="549" spans="1:20">
      <c r="A549" s="37">
        <v>45777</v>
      </c>
      <c r="B549" s="38" t="s">
        <v>885</v>
      </c>
      <c r="C549" s="38" t="s">
        <v>886</v>
      </c>
      <c r="D549" s="38" t="s">
        <v>887</v>
      </c>
      <c r="E549" s="38" t="s">
        <v>1573</v>
      </c>
      <c r="F549" s="38">
        <f t="shared" si="67"/>
        <v>2025</v>
      </c>
      <c r="G549" s="38" t="str">
        <f t="shared" si="68"/>
        <v>April</v>
      </c>
      <c r="H549" s="30">
        <v>220384</v>
      </c>
      <c r="I549" s="30">
        <v>8142</v>
      </c>
      <c r="J549" s="39">
        <v>1402</v>
      </c>
      <c r="K549" s="39">
        <v>907</v>
      </c>
      <c r="L549" s="39">
        <v>369</v>
      </c>
      <c r="M549" s="40">
        <v>152034.62</v>
      </c>
      <c r="N549" s="40">
        <v>2102559.65</v>
      </c>
      <c r="O549" s="33">
        <f t="shared" si="71"/>
        <v>3.69</v>
      </c>
      <c r="P549" s="34">
        <f t="shared" si="69"/>
        <v>108.441241084165</v>
      </c>
      <c r="Q549" s="35">
        <f t="shared" si="70"/>
        <v>13.8294794304087</v>
      </c>
      <c r="R549" s="35">
        <f t="shared" ref="R549:R612" si="72">(M549/I549)</f>
        <v>18.6728838123311</v>
      </c>
      <c r="S549" s="33">
        <f t="shared" si="65"/>
        <v>689.86</v>
      </c>
      <c r="T549" s="36">
        <f t="shared" si="66"/>
        <v>1282.95</v>
      </c>
    </row>
    <row r="550" spans="1:20">
      <c r="A550" s="28">
        <v>45662</v>
      </c>
      <c r="B550" s="29" t="s">
        <v>1128</v>
      </c>
      <c r="C550" s="29" t="s">
        <v>1129</v>
      </c>
      <c r="D550" s="29" t="s">
        <v>1130</v>
      </c>
      <c r="E550" s="29" t="s">
        <v>1574</v>
      </c>
      <c r="F550" s="29">
        <f t="shared" si="67"/>
        <v>2025</v>
      </c>
      <c r="G550" s="29" t="str">
        <f t="shared" si="68"/>
        <v>January</v>
      </c>
      <c r="H550" s="30">
        <v>240139</v>
      </c>
      <c r="I550" s="30">
        <v>11309</v>
      </c>
      <c r="J550" s="31">
        <v>1987</v>
      </c>
      <c r="K550" s="31">
        <v>1165</v>
      </c>
      <c r="L550" s="31">
        <v>696</v>
      </c>
      <c r="M550" s="32">
        <v>180456.12</v>
      </c>
      <c r="N550" s="32">
        <v>4208817.85</v>
      </c>
      <c r="O550" s="33">
        <f t="shared" si="71"/>
        <v>4.71</v>
      </c>
      <c r="P550" s="34">
        <f t="shared" si="69"/>
        <v>90.8183794665325</v>
      </c>
      <c r="Q550" s="35">
        <f t="shared" si="70"/>
        <v>23.3232203485257</v>
      </c>
      <c r="R550" s="35">
        <f t="shared" si="72"/>
        <v>15.9568591387391</v>
      </c>
      <c r="S550" s="33">
        <f t="shared" si="65"/>
        <v>751.47</v>
      </c>
      <c r="T550" s="36">
        <f t="shared" si="66"/>
        <v>2232.32</v>
      </c>
    </row>
    <row r="551" spans="1:20">
      <c r="A551" s="37">
        <v>45662</v>
      </c>
      <c r="B551" s="38" t="s">
        <v>885</v>
      </c>
      <c r="C551" s="38" t="s">
        <v>886</v>
      </c>
      <c r="D551" s="38" t="s">
        <v>887</v>
      </c>
      <c r="E551" s="38" t="s">
        <v>1572</v>
      </c>
      <c r="F551" s="38">
        <f t="shared" si="67"/>
        <v>2025</v>
      </c>
      <c r="G551" s="38" t="str">
        <f t="shared" si="68"/>
        <v>January</v>
      </c>
      <c r="H551" s="30">
        <v>289903</v>
      </c>
      <c r="I551" s="30">
        <v>22942</v>
      </c>
      <c r="J551" s="39">
        <v>4003</v>
      </c>
      <c r="K551" s="39">
        <v>2536</v>
      </c>
      <c r="L551" s="39">
        <v>1136</v>
      </c>
      <c r="M551" s="40">
        <v>276281.53</v>
      </c>
      <c r="N551" s="40">
        <v>6468438.06</v>
      </c>
      <c r="O551" s="33">
        <f t="shared" si="71"/>
        <v>7.91</v>
      </c>
      <c r="P551" s="34">
        <f t="shared" si="69"/>
        <v>69.0186185360979</v>
      </c>
      <c r="Q551" s="35">
        <f t="shared" si="70"/>
        <v>23.4124881963698</v>
      </c>
      <c r="R551" s="35">
        <f t="shared" si="72"/>
        <v>12.0426087525063</v>
      </c>
      <c r="S551" s="33">
        <f t="shared" si="65"/>
        <v>953.01</v>
      </c>
      <c r="T551" s="36">
        <f t="shared" si="66"/>
        <v>2241.25</v>
      </c>
    </row>
    <row r="552" spans="1:20">
      <c r="A552" s="28">
        <v>45693</v>
      </c>
      <c r="B552" s="29" t="s">
        <v>1128</v>
      </c>
      <c r="C552" s="29" t="s">
        <v>1129</v>
      </c>
      <c r="D552" s="29" t="s">
        <v>1130</v>
      </c>
      <c r="E552" s="29" t="s">
        <v>1574</v>
      </c>
      <c r="F552" s="29">
        <f t="shared" si="67"/>
        <v>2025</v>
      </c>
      <c r="G552" s="29" t="str">
        <f t="shared" si="68"/>
        <v>February</v>
      </c>
      <c r="H552" s="30">
        <v>145953</v>
      </c>
      <c r="I552" s="30">
        <v>6934</v>
      </c>
      <c r="J552" s="31">
        <v>1681</v>
      </c>
      <c r="K552" s="31">
        <v>974</v>
      </c>
      <c r="L552" s="31">
        <v>435</v>
      </c>
      <c r="M552" s="32">
        <v>80170.2</v>
      </c>
      <c r="N552" s="32">
        <v>2531628.96</v>
      </c>
      <c r="O552" s="33">
        <f t="shared" si="71"/>
        <v>4.75</v>
      </c>
      <c r="P552" s="34">
        <f t="shared" si="69"/>
        <v>47.6919690660321</v>
      </c>
      <c r="Q552" s="35">
        <f t="shared" si="70"/>
        <v>31.578179423277</v>
      </c>
      <c r="R552" s="35">
        <f t="shared" si="72"/>
        <v>11.5618978944332</v>
      </c>
      <c r="S552" s="33">
        <f t="shared" si="65"/>
        <v>549.29</v>
      </c>
      <c r="T552" s="36">
        <f t="shared" si="66"/>
        <v>3057.82</v>
      </c>
    </row>
    <row r="553" spans="1:20">
      <c r="A553" s="37">
        <v>45693</v>
      </c>
      <c r="B553" s="38" t="s">
        <v>885</v>
      </c>
      <c r="C553" s="38" t="s">
        <v>886</v>
      </c>
      <c r="D553" s="38" t="s">
        <v>887</v>
      </c>
      <c r="E553" s="38" t="s">
        <v>1571</v>
      </c>
      <c r="F553" s="38">
        <f t="shared" si="67"/>
        <v>2025</v>
      </c>
      <c r="G553" s="38" t="str">
        <f t="shared" si="68"/>
        <v>February</v>
      </c>
      <c r="H553" s="30">
        <v>224774</v>
      </c>
      <c r="I553" s="30">
        <v>8087</v>
      </c>
      <c r="J553" s="39">
        <v>1510</v>
      </c>
      <c r="K553" s="39">
        <v>927</v>
      </c>
      <c r="L553" s="39">
        <v>437</v>
      </c>
      <c r="M553" s="40">
        <v>144246.98</v>
      </c>
      <c r="N553" s="40">
        <v>2806122.06</v>
      </c>
      <c r="O553" s="33">
        <f t="shared" si="71"/>
        <v>3.6</v>
      </c>
      <c r="P553" s="34">
        <f t="shared" si="69"/>
        <v>95.5278013245033</v>
      </c>
      <c r="Q553" s="35">
        <f t="shared" si="70"/>
        <v>19.453593135884</v>
      </c>
      <c r="R553" s="35">
        <f t="shared" si="72"/>
        <v>17.8368962532459</v>
      </c>
      <c r="S553" s="33">
        <f t="shared" ref="S553:S616" si="73">ROUND(M553/H553*1000,2)</f>
        <v>641.74</v>
      </c>
      <c r="T553" s="36">
        <f t="shared" si="66"/>
        <v>1845.36</v>
      </c>
    </row>
    <row r="554" spans="1:20">
      <c r="A554" s="28">
        <v>45721</v>
      </c>
      <c r="B554" s="29" t="s">
        <v>1128</v>
      </c>
      <c r="C554" s="29" t="s">
        <v>1129</v>
      </c>
      <c r="D554" s="29" t="s">
        <v>1130</v>
      </c>
      <c r="E554" s="29" t="s">
        <v>1574</v>
      </c>
      <c r="F554" s="29">
        <f t="shared" si="67"/>
        <v>2025</v>
      </c>
      <c r="G554" s="29" t="str">
        <f t="shared" si="68"/>
        <v>March</v>
      </c>
      <c r="H554" s="30">
        <v>125764</v>
      </c>
      <c r="I554" s="30">
        <v>4601</v>
      </c>
      <c r="J554" s="31">
        <v>978</v>
      </c>
      <c r="K554" s="31">
        <v>630</v>
      </c>
      <c r="L554" s="31">
        <v>302</v>
      </c>
      <c r="M554" s="32">
        <v>67771.58</v>
      </c>
      <c r="N554" s="32">
        <v>2349380.39</v>
      </c>
      <c r="O554" s="33">
        <f t="shared" si="71"/>
        <v>3.66</v>
      </c>
      <c r="P554" s="34">
        <f t="shared" si="69"/>
        <v>69.2960940695297</v>
      </c>
      <c r="Q554" s="35">
        <f t="shared" si="70"/>
        <v>34.6661593251921</v>
      </c>
      <c r="R554" s="35">
        <f t="shared" si="72"/>
        <v>14.729750054336</v>
      </c>
      <c r="S554" s="33">
        <f t="shared" si="73"/>
        <v>538.88</v>
      </c>
      <c r="T554" s="36">
        <f t="shared" si="66"/>
        <v>3366.62</v>
      </c>
    </row>
    <row r="555" spans="1:20">
      <c r="A555" s="37">
        <v>45721</v>
      </c>
      <c r="B555" s="38" t="s">
        <v>885</v>
      </c>
      <c r="C555" s="38" t="s">
        <v>886</v>
      </c>
      <c r="D555" s="38" t="s">
        <v>887</v>
      </c>
      <c r="E555" s="38" t="s">
        <v>1572</v>
      </c>
      <c r="F555" s="38">
        <f t="shared" si="67"/>
        <v>2025</v>
      </c>
      <c r="G555" s="38" t="str">
        <f t="shared" si="68"/>
        <v>March</v>
      </c>
      <c r="H555" s="30">
        <v>283215</v>
      </c>
      <c r="I555" s="30">
        <v>9156</v>
      </c>
      <c r="J555" s="39">
        <v>1720</v>
      </c>
      <c r="K555" s="39">
        <v>956</v>
      </c>
      <c r="L555" s="39">
        <v>382</v>
      </c>
      <c r="M555" s="40">
        <v>274488.3</v>
      </c>
      <c r="N555" s="40">
        <v>1491751.11</v>
      </c>
      <c r="O555" s="33">
        <f t="shared" si="71"/>
        <v>3.23</v>
      </c>
      <c r="P555" s="34">
        <f t="shared" si="69"/>
        <v>159.586220930233</v>
      </c>
      <c r="Q555" s="35">
        <f t="shared" si="70"/>
        <v>5.43466191455155</v>
      </c>
      <c r="R555" s="35">
        <f t="shared" si="72"/>
        <v>29.9790629095675</v>
      </c>
      <c r="S555" s="33">
        <f t="shared" si="73"/>
        <v>969.19</v>
      </c>
      <c r="T555" s="36">
        <f t="shared" si="66"/>
        <v>443.47</v>
      </c>
    </row>
    <row r="556" spans="1:20">
      <c r="A556" s="28">
        <v>45752</v>
      </c>
      <c r="B556" s="29" t="s">
        <v>1128</v>
      </c>
      <c r="C556" s="29" t="s">
        <v>1129</v>
      </c>
      <c r="D556" s="29" t="s">
        <v>1130</v>
      </c>
      <c r="E556" s="29" t="s">
        <v>1574</v>
      </c>
      <c r="F556" s="29">
        <f t="shared" si="67"/>
        <v>2025</v>
      </c>
      <c r="G556" s="29" t="str">
        <f t="shared" si="68"/>
        <v>April</v>
      </c>
      <c r="H556" s="30">
        <v>254360</v>
      </c>
      <c r="I556" s="30">
        <v>11109</v>
      </c>
      <c r="J556" s="31">
        <v>2734</v>
      </c>
      <c r="K556" s="31">
        <v>1480</v>
      </c>
      <c r="L556" s="31">
        <v>668</v>
      </c>
      <c r="M556" s="32">
        <v>226644.84</v>
      </c>
      <c r="N556" s="32">
        <v>2792259.85</v>
      </c>
      <c r="O556" s="33">
        <f t="shared" si="71"/>
        <v>4.37</v>
      </c>
      <c r="P556" s="34">
        <f t="shared" si="69"/>
        <v>82.8986247256767</v>
      </c>
      <c r="Q556" s="35">
        <f t="shared" si="70"/>
        <v>12.3199797974664</v>
      </c>
      <c r="R556" s="35">
        <f t="shared" si="72"/>
        <v>20.401911963273</v>
      </c>
      <c r="S556" s="33">
        <f t="shared" si="73"/>
        <v>891.04</v>
      </c>
      <c r="T556" s="36">
        <f t="shared" si="66"/>
        <v>1132</v>
      </c>
    </row>
    <row r="557" spans="1:20">
      <c r="A557" s="37">
        <v>45752</v>
      </c>
      <c r="B557" s="38" t="s">
        <v>885</v>
      </c>
      <c r="C557" s="38" t="s">
        <v>886</v>
      </c>
      <c r="D557" s="38" t="s">
        <v>887</v>
      </c>
      <c r="E557" s="38" t="s">
        <v>1573</v>
      </c>
      <c r="F557" s="38">
        <f t="shared" si="67"/>
        <v>2025</v>
      </c>
      <c r="G557" s="38" t="str">
        <f t="shared" si="68"/>
        <v>April</v>
      </c>
      <c r="H557" s="30">
        <v>67770</v>
      </c>
      <c r="I557" s="30">
        <v>4813</v>
      </c>
      <c r="J557" s="39">
        <v>744</v>
      </c>
      <c r="K557" s="39">
        <v>355</v>
      </c>
      <c r="L557" s="39">
        <v>155</v>
      </c>
      <c r="M557" s="40">
        <v>62523.21</v>
      </c>
      <c r="N557" s="40">
        <v>1032514.49</v>
      </c>
      <c r="O557" s="33">
        <f t="shared" si="71"/>
        <v>7.1</v>
      </c>
      <c r="P557" s="34">
        <f t="shared" si="69"/>
        <v>84.0365725806452</v>
      </c>
      <c r="Q557" s="35">
        <f t="shared" si="70"/>
        <v>16.5140991641344</v>
      </c>
      <c r="R557" s="35">
        <f t="shared" si="72"/>
        <v>12.9904861832537</v>
      </c>
      <c r="S557" s="33">
        <f t="shared" si="73"/>
        <v>922.58</v>
      </c>
      <c r="T557" s="36">
        <f t="shared" si="66"/>
        <v>1551.41</v>
      </c>
    </row>
    <row r="558" spans="1:20">
      <c r="A558" s="28">
        <v>45782</v>
      </c>
      <c r="B558" s="29" t="s">
        <v>1128</v>
      </c>
      <c r="C558" s="29" t="s">
        <v>1129</v>
      </c>
      <c r="D558" s="29" t="s">
        <v>1130</v>
      </c>
      <c r="E558" s="29" t="s">
        <v>1574</v>
      </c>
      <c r="F558" s="29">
        <f t="shared" si="67"/>
        <v>2025</v>
      </c>
      <c r="G558" s="29" t="str">
        <f t="shared" si="68"/>
        <v>May</v>
      </c>
      <c r="H558" s="30">
        <v>208578</v>
      </c>
      <c r="I558" s="30">
        <v>12706</v>
      </c>
      <c r="J558" s="31">
        <v>2381</v>
      </c>
      <c r="K558" s="31">
        <v>1311</v>
      </c>
      <c r="L558" s="31">
        <v>655</v>
      </c>
      <c r="M558" s="32">
        <v>116823.1</v>
      </c>
      <c r="N558" s="32">
        <v>2987311.77</v>
      </c>
      <c r="O558" s="33">
        <f t="shared" si="71"/>
        <v>6.09</v>
      </c>
      <c r="P558" s="34">
        <f t="shared" si="69"/>
        <v>49.0647207055859</v>
      </c>
      <c r="Q558" s="35">
        <f t="shared" si="70"/>
        <v>25.5712420745555</v>
      </c>
      <c r="R558" s="35">
        <f t="shared" si="72"/>
        <v>9.19432551550449</v>
      </c>
      <c r="S558" s="33">
        <f t="shared" si="73"/>
        <v>560.09</v>
      </c>
      <c r="T558" s="36">
        <f t="shared" ref="T558:T621" si="74">ROUND((N558-M558)/M558*100,2)</f>
        <v>2457.12</v>
      </c>
    </row>
    <row r="559" spans="1:20">
      <c r="A559" s="37">
        <v>45782</v>
      </c>
      <c r="B559" s="38" t="s">
        <v>885</v>
      </c>
      <c r="C559" s="38" t="s">
        <v>886</v>
      </c>
      <c r="D559" s="38" t="s">
        <v>887</v>
      </c>
      <c r="E559" s="38" t="s">
        <v>1572</v>
      </c>
      <c r="F559" s="38">
        <f t="shared" si="67"/>
        <v>2025</v>
      </c>
      <c r="G559" s="38" t="str">
        <f t="shared" si="68"/>
        <v>May</v>
      </c>
      <c r="H559" s="30">
        <v>104892</v>
      </c>
      <c r="I559" s="30">
        <v>8197</v>
      </c>
      <c r="J559" s="39">
        <v>1255</v>
      </c>
      <c r="K559" s="39">
        <v>616</v>
      </c>
      <c r="L559" s="39">
        <v>347</v>
      </c>
      <c r="M559" s="40">
        <v>51518.58</v>
      </c>
      <c r="N559" s="40">
        <v>2149275.48</v>
      </c>
      <c r="O559" s="33">
        <f t="shared" si="71"/>
        <v>7.81</v>
      </c>
      <c r="P559" s="34">
        <f t="shared" si="69"/>
        <v>41.0506613545817</v>
      </c>
      <c r="Q559" s="35">
        <f t="shared" si="70"/>
        <v>41.7184534201059</v>
      </c>
      <c r="R559" s="35">
        <f t="shared" si="72"/>
        <v>6.28505306819568</v>
      </c>
      <c r="S559" s="33">
        <f t="shared" si="73"/>
        <v>491.16</v>
      </c>
      <c r="T559" s="36">
        <f t="shared" si="74"/>
        <v>4071.85</v>
      </c>
    </row>
    <row r="560" spans="1:20">
      <c r="A560" s="28">
        <v>45813</v>
      </c>
      <c r="B560" s="29" t="s">
        <v>1128</v>
      </c>
      <c r="C560" s="29" t="s">
        <v>1129</v>
      </c>
      <c r="D560" s="29" t="s">
        <v>1130</v>
      </c>
      <c r="E560" s="29" t="s">
        <v>1574</v>
      </c>
      <c r="F560" s="29">
        <f t="shared" si="67"/>
        <v>2025</v>
      </c>
      <c r="G560" s="29" t="str">
        <f t="shared" si="68"/>
        <v>June</v>
      </c>
      <c r="H560" s="30">
        <v>174201</v>
      </c>
      <c r="I560" s="30">
        <v>12488</v>
      </c>
      <c r="J560" s="31">
        <v>2889</v>
      </c>
      <c r="K560" s="31">
        <v>1838</v>
      </c>
      <c r="L560" s="31">
        <v>796</v>
      </c>
      <c r="M560" s="32">
        <v>133968.34</v>
      </c>
      <c r="N560" s="32">
        <v>4993434.23</v>
      </c>
      <c r="O560" s="33">
        <f t="shared" si="71"/>
        <v>7.17</v>
      </c>
      <c r="P560" s="34">
        <f t="shared" si="69"/>
        <v>46.3718726202838</v>
      </c>
      <c r="Q560" s="35">
        <f t="shared" si="70"/>
        <v>37.2732410508334</v>
      </c>
      <c r="R560" s="35">
        <f t="shared" si="72"/>
        <v>10.727765855221</v>
      </c>
      <c r="S560" s="33">
        <f t="shared" si="73"/>
        <v>769.04</v>
      </c>
      <c r="T560" s="36">
        <f t="shared" si="74"/>
        <v>3627.32</v>
      </c>
    </row>
    <row r="561" spans="1:20">
      <c r="A561" s="37">
        <v>45813</v>
      </c>
      <c r="B561" s="38" t="s">
        <v>885</v>
      </c>
      <c r="C561" s="38" t="s">
        <v>886</v>
      </c>
      <c r="D561" s="38" t="s">
        <v>887</v>
      </c>
      <c r="E561" s="38" t="s">
        <v>1572</v>
      </c>
      <c r="F561" s="38">
        <f t="shared" si="67"/>
        <v>2025</v>
      </c>
      <c r="G561" s="38" t="str">
        <f t="shared" si="68"/>
        <v>June</v>
      </c>
      <c r="H561" s="30">
        <v>204932</v>
      </c>
      <c r="I561" s="30">
        <v>9551</v>
      </c>
      <c r="J561" s="39">
        <v>2028</v>
      </c>
      <c r="K561" s="39">
        <v>1175</v>
      </c>
      <c r="L561" s="39">
        <v>688</v>
      </c>
      <c r="M561" s="40">
        <v>119604.48</v>
      </c>
      <c r="N561" s="40">
        <v>2530463.62</v>
      </c>
      <c r="O561" s="33">
        <f t="shared" si="71"/>
        <v>4.66</v>
      </c>
      <c r="P561" s="34">
        <f t="shared" si="69"/>
        <v>58.9765680473373</v>
      </c>
      <c r="Q561" s="35">
        <f t="shared" si="70"/>
        <v>21.1569300748601</v>
      </c>
      <c r="R561" s="35">
        <f t="shared" si="72"/>
        <v>12.5227180399958</v>
      </c>
      <c r="S561" s="33">
        <f t="shared" si="73"/>
        <v>583.63</v>
      </c>
      <c r="T561" s="36">
        <f t="shared" si="74"/>
        <v>2015.69</v>
      </c>
    </row>
    <row r="562" spans="1:20">
      <c r="A562" s="28">
        <v>45843</v>
      </c>
      <c r="B562" s="29" t="s">
        <v>1128</v>
      </c>
      <c r="C562" s="29" t="s">
        <v>1129</v>
      </c>
      <c r="D562" s="29" t="s">
        <v>1130</v>
      </c>
      <c r="E562" s="29" t="s">
        <v>1574</v>
      </c>
      <c r="F562" s="29">
        <f t="shared" si="67"/>
        <v>2025</v>
      </c>
      <c r="G562" s="29" t="str">
        <f t="shared" si="68"/>
        <v>July</v>
      </c>
      <c r="H562" s="30">
        <v>281251</v>
      </c>
      <c r="I562" s="30">
        <v>18428</v>
      </c>
      <c r="J562" s="31">
        <v>4606</v>
      </c>
      <c r="K562" s="31">
        <v>2913</v>
      </c>
      <c r="L562" s="31">
        <v>1585</v>
      </c>
      <c r="M562" s="32">
        <v>223349.7</v>
      </c>
      <c r="N562" s="32">
        <v>7253636.47</v>
      </c>
      <c r="O562" s="33">
        <f t="shared" si="71"/>
        <v>6.55</v>
      </c>
      <c r="P562" s="34">
        <f t="shared" si="69"/>
        <v>48.4910334346505</v>
      </c>
      <c r="Q562" s="35">
        <f t="shared" si="70"/>
        <v>32.4765892678611</v>
      </c>
      <c r="R562" s="35">
        <f t="shared" si="72"/>
        <v>12.1201269806816</v>
      </c>
      <c r="S562" s="33">
        <f t="shared" si="73"/>
        <v>794.13</v>
      </c>
      <c r="T562" s="36">
        <f t="shared" si="74"/>
        <v>3147.66</v>
      </c>
    </row>
    <row r="563" spans="1:20">
      <c r="A563" s="37">
        <v>45843</v>
      </c>
      <c r="B563" s="38" t="s">
        <v>885</v>
      </c>
      <c r="C563" s="38" t="s">
        <v>886</v>
      </c>
      <c r="D563" s="38" t="s">
        <v>887</v>
      </c>
      <c r="E563" s="38" t="s">
        <v>1572</v>
      </c>
      <c r="F563" s="38">
        <f t="shared" si="67"/>
        <v>2025</v>
      </c>
      <c r="G563" s="38" t="str">
        <f t="shared" si="68"/>
        <v>July</v>
      </c>
      <c r="H563" s="30">
        <v>126647</v>
      </c>
      <c r="I563" s="30">
        <v>7408</v>
      </c>
      <c r="J563" s="39">
        <v>1738</v>
      </c>
      <c r="K563" s="39">
        <v>883</v>
      </c>
      <c r="L563" s="39">
        <v>464</v>
      </c>
      <c r="M563" s="40">
        <v>97271.17</v>
      </c>
      <c r="N563" s="40">
        <v>1785615.46</v>
      </c>
      <c r="O563" s="33">
        <f t="shared" si="71"/>
        <v>5.85</v>
      </c>
      <c r="P563" s="34">
        <f t="shared" si="69"/>
        <v>55.9673014959724</v>
      </c>
      <c r="Q563" s="35">
        <f t="shared" si="70"/>
        <v>18.357088333573</v>
      </c>
      <c r="R563" s="35">
        <f t="shared" si="72"/>
        <v>13.1305575053996</v>
      </c>
      <c r="S563" s="33">
        <f t="shared" si="73"/>
        <v>768.05</v>
      </c>
      <c r="T563" s="36">
        <f t="shared" si="74"/>
        <v>1735.71</v>
      </c>
    </row>
    <row r="564" spans="1:20">
      <c r="A564" s="28">
        <v>45874</v>
      </c>
      <c r="B564" s="29" t="s">
        <v>1128</v>
      </c>
      <c r="C564" s="29" t="s">
        <v>1129</v>
      </c>
      <c r="D564" s="29" t="s">
        <v>1130</v>
      </c>
      <c r="E564" s="29" t="s">
        <v>1574</v>
      </c>
      <c r="F564" s="29">
        <f t="shared" si="67"/>
        <v>2025</v>
      </c>
      <c r="G564" s="29" t="str">
        <f t="shared" si="68"/>
        <v>August</v>
      </c>
      <c r="H564" s="30">
        <v>97979</v>
      </c>
      <c r="I564" s="30">
        <v>3175</v>
      </c>
      <c r="J564" s="31">
        <v>583</v>
      </c>
      <c r="K564" s="31">
        <v>301</v>
      </c>
      <c r="L564" s="31">
        <v>168</v>
      </c>
      <c r="M564" s="32">
        <v>58564.33</v>
      </c>
      <c r="N564" s="32">
        <v>529563.73</v>
      </c>
      <c r="O564" s="33">
        <f t="shared" si="71"/>
        <v>3.24</v>
      </c>
      <c r="P564" s="34">
        <f t="shared" si="69"/>
        <v>100.453396226415</v>
      </c>
      <c r="Q564" s="35">
        <f t="shared" si="70"/>
        <v>9.04242787375865</v>
      </c>
      <c r="R564" s="35">
        <f t="shared" si="72"/>
        <v>18.4454582677165</v>
      </c>
      <c r="S564" s="33">
        <f t="shared" si="73"/>
        <v>597.72</v>
      </c>
      <c r="T564" s="36">
        <f t="shared" si="74"/>
        <v>804.24</v>
      </c>
    </row>
    <row r="565" spans="1:20">
      <c r="A565" s="37">
        <v>45874</v>
      </c>
      <c r="B565" s="38" t="s">
        <v>885</v>
      </c>
      <c r="C565" s="38" t="s">
        <v>886</v>
      </c>
      <c r="D565" s="38" t="s">
        <v>887</v>
      </c>
      <c r="E565" s="38" t="s">
        <v>1573</v>
      </c>
      <c r="F565" s="38">
        <f t="shared" si="67"/>
        <v>2025</v>
      </c>
      <c r="G565" s="38" t="str">
        <f t="shared" si="68"/>
        <v>August</v>
      </c>
      <c r="H565" s="30">
        <v>154994</v>
      </c>
      <c r="I565" s="30">
        <v>5796</v>
      </c>
      <c r="J565" s="39">
        <v>1347</v>
      </c>
      <c r="K565" s="39">
        <v>863</v>
      </c>
      <c r="L565" s="39">
        <v>431</v>
      </c>
      <c r="M565" s="40">
        <v>121038.69</v>
      </c>
      <c r="N565" s="40">
        <v>2196417.22</v>
      </c>
      <c r="O565" s="33">
        <f t="shared" si="71"/>
        <v>3.74</v>
      </c>
      <c r="P565" s="34">
        <f t="shared" si="69"/>
        <v>89.8579732739421</v>
      </c>
      <c r="Q565" s="35">
        <f t="shared" si="70"/>
        <v>18.1464060789158</v>
      </c>
      <c r="R565" s="35">
        <f t="shared" si="72"/>
        <v>20.8831418219462</v>
      </c>
      <c r="S565" s="33">
        <f t="shared" si="73"/>
        <v>780.93</v>
      </c>
      <c r="T565" s="36">
        <f t="shared" si="74"/>
        <v>1714.64</v>
      </c>
    </row>
    <row r="566" spans="1:20">
      <c r="A566" s="28">
        <v>45905</v>
      </c>
      <c r="B566" s="29" t="s">
        <v>1128</v>
      </c>
      <c r="C566" s="29" t="s">
        <v>1129</v>
      </c>
      <c r="D566" s="29" t="s">
        <v>1130</v>
      </c>
      <c r="E566" s="29" t="s">
        <v>1574</v>
      </c>
      <c r="F566" s="29">
        <f t="shared" si="67"/>
        <v>2025</v>
      </c>
      <c r="G566" s="29" t="str">
        <f t="shared" si="68"/>
        <v>September</v>
      </c>
      <c r="H566" s="30">
        <v>258980</v>
      </c>
      <c r="I566" s="30">
        <v>19662</v>
      </c>
      <c r="J566" s="31">
        <v>3598</v>
      </c>
      <c r="K566" s="31">
        <v>1763</v>
      </c>
      <c r="L566" s="31">
        <v>758</v>
      </c>
      <c r="M566" s="32">
        <v>228071.85</v>
      </c>
      <c r="N566" s="32">
        <v>4909073.61</v>
      </c>
      <c r="O566" s="33">
        <f t="shared" si="71"/>
        <v>7.59</v>
      </c>
      <c r="P566" s="34">
        <f t="shared" si="69"/>
        <v>63.388507504169</v>
      </c>
      <c r="Q566" s="35">
        <f t="shared" si="70"/>
        <v>21.5242416370104</v>
      </c>
      <c r="R566" s="35">
        <f t="shared" si="72"/>
        <v>11.599626182484</v>
      </c>
      <c r="S566" s="33">
        <f t="shared" si="73"/>
        <v>880.65</v>
      </c>
      <c r="T566" s="36">
        <f t="shared" si="74"/>
        <v>2052.42</v>
      </c>
    </row>
    <row r="567" spans="1:20">
      <c r="A567" s="37">
        <v>45905</v>
      </c>
      <c r="B567" s="38" t="s">
        <v>885</v>
      </c>
      <c r="C567" s="38" t="s">
        <v>886</v>
      </c>
      <c r="D567" s="38" t="s">
        <v>887</v>
      </c>
      <c r="E567" s="38" t="s">
        <v>1572</v>
      </c>
      <c r="F567" s="38">
        <f t="shared" si="67"/>
        <v>2025</v>
      </c>
      <c r="G567" s="38" t="str">
        <f t="shared" si="68"/>
        <v>September</v>
      </c>
      <c r="H567" s="30">
        <v>108431</v>
      </c>
      <c r="I567" s="30">
        <v>6177</v>
      </c>
      <c r="J567" s="39">
        <v>1134</v>
      </c>
      <c r="K567" s="39">
        <v>595</v>
      </c>
      <c r="L567" s="39">
        <v>240</v>
      </c>
      <c r="M567" s="40">
        <v>100523.61</v>
      </c>
      <c r="N567" s="40">
        <v>897404.11</v>
      </c>
      <c r="O567" s="33">
        <f t="shared" si="71"/>
        <v>5.7</v>
      </c>
      <c r="P567" s="34">
        <f t="shared" si="69"/>
        <v>88.6451587301587</v>
      </c>
      <c r="Q567" s="35">
        <f t="shared" si="70"/>
        <v>8.92729688080243</v>
      </c>
      <c r="R567" s="35">
        <f t="shared" si="72"/>
        <v>16.2738562408936</v>
      </c>
      <c r="S567" s="33">
        <f t="shared" si="73"/>
        <v>927.07</v>
      </c>
      <c r="T567" s="36">
        <f t="shared" si="74"/>
        <v>792.73</v>
      </c>
    </row>
    <row r="568" spans="1:20">
      <c r="A568" s="28">
        <v>45935</v>
      </c>
      <c r="B568" s="29" t="s">
        <v>1128</v>
      </c>
      <c r="C568" s="29" t="s">
        <v>1129</v>
      </c>
      <c r="D568" s="29" t="s">
        <v>1130</v>
      </c>
      <c r="E568" s="29" t="s">
        <v>1574</v>
      </c>
      <c r="F568" s="29">
        <f t="shared" si="67"/>
        <v>2025</v>
      </c>
      <c r="G568" s="29" t="str">
        <f t="shared" si="68"/>
        <v>October</v>
      </c>
      <c r="H568" s="30">
        <v>51259</v>
      </c>
      <c r="I568" s="30">
        <v>3592</v>
      </c>
      <c r="J568" s="31">
        <v>541</v>
      </c>
      <c r="K568" s="31">
        <v>312</v>
      </c>
      <c r="L568" s="31">
        <v>131</v>
      </c>
      <c r="M568" s="32">
        <v>24423.78</v>
      </c>
      <c r="N568" s="32">
        <v>722680.3</v>
      </c>
      <c r="O568" s="33">
        <f t="shared" si="71"/>
        <v>7.01</v>
      </c>
      <c r="P568" s="34">
        <f t="shared" si="69"/>
        <v>45.1456192236599</v>
      </c>
      <c r="Q568" s="35">
        <f t="shared" si="70"/>
        <v>29.5892077311538</v>
      </c>
      <c r="R568" s="35">
        <f t="shared" si="72"/>
        <v>6.79949331848552</v>
      </c>
      <c r="S568" s="33">
        <f t="shared" si="73"/>
        <v>476.48</v>
      </c>
      <c r="T568" s="36">
        <f t="shared" si="74"/>
        <v>2858.92</v>
      </c>
    </row>
    <row r="569" spans="1:20">
      <c r="A569" s="37">
        <v>45935</v>
      </c>
      <c r="B569" s="38" t="s">
        <v>885</v>
      </c>
      <c r="C569" s="38" t="s">
        <v>886</v>
      </c>
      <c r="D569" s="38" t="s">
        <v>887</v>
      </c>
      <c r="E569" s="38" t="s">
        <v>1572</v>
      </c>
      <c r="F569" s="38">
        <f t="shared" si="67"/>
        <v>2025</v>
      </c>
      <c r="G569" s="38" t="str">
        <f t="shared" si="68"/>
        <v>October</v>
      </c>
      <c r="H569" s="30">
        <v>128908</v>
      </c>
      <c r="I569" s="30">
        <v>5068</v>
      </c>
      <c r="J569" s="39">
        <v>994</v>
      </c>
      <c r="K569" s="39">
        <v>535</v>
      </c>
      <c r="L569" s="39">
        <v>273</v>
      </c>
      <c r="M569" s="40">
        <v>101891.88</v>
      </c>
      <c r="N569" s="40">
        <v>1320648.36</v>
      </c>
      <c r="O569" s="33">
        <f t="shared" si="71"/>
        <v>3.93</v>
      </c>
      <c r="P569" s="34">
        <f t="shared" si="69"/>
        <v>102.506921529175</v>
      </c>
      <c r="Q569" s="35">
        <f t="shared" si="70"/>
        <v>12.9612718893792</v>
      </c>
      <c r="R569" s="35">
        <f t="shared" si="72"/>
        <v>20.1049486977111</v>
      </c>
      <c r="S569" s="33">
        <f t="shared" si="73"/>
        <v>790.42</v>
      </c>
      <c r="T569" s="36">
        <f t="shared" si="74"/>
        <v>1196.13</v>
      </c>
    </row>
    <row r="570" spans="1:20">
      <c r="A570" s="28">
        <v>45966</v>
      </c>
      <c r="B570" s="29" t="s">
        <v>1128</v>
      </c>
      <c r="C570" s="29" t="s">
        <v>1129</v>
      </c>
      <c r="D570" s="29" t="s">
        <v>1130</v>
      </c>
      <c r="E570" s="29" t="s">
        <v>1574</v>
      </c>
      <c r="F570" s="29">
        <f t="shared" si="67"/>
        <v>2025</v>
      </c>
      <c r="G570" s="29" t="str">
        <f t="shared" si="68"/>
        <v>November</v>
      </c>
      <c r="H570" s="30">
        <v>107884</v>
      </c>
      <c r="I570" s="30">
        <v>5598</v>
      </c>
      <c r="J570" s="31">
        <v>1238</v>
      </c>
      <c r="K570" s="31">
        <v>596</v>
      </c>
      <c r="L570" s="31">
        <v>240</v>
      </c>
      <c r="M570" s="32">
        <v>51643.69</v>
      </c>
      <c r="N570" s="32">
        <v>862353.37</v>
      </c>
      <c r="O570" s="33">
        <f t="shared" si="71"/>
        <v>5.19</v>
      </c>
      <c r="P570" s="34">
        <f t="shared" si="69"/>
        <v>41.7154200323102</v>
      </c>
      <c r="Q570" s="35">
        <f t="shared" si="70"/>
        <v>16.6981362098642</v>
      </c>
      <c r="R570" s="35">
        <f t="shared" si="72"/>
        <v>9.2253822793855</v>
      </c>
      <c r="S570" s="33">
        <f t="shared" si="73"/>
        <v>478.7</v>
      </c>
      <c r="T570" s="36">
        <f t="shared" si="74"/>
        <v>1569.81</v>
      </c>
    </row>
    <row r="571" spans="1:20">
      <c r="A571" s="37">
        <v>45966</v>
      </c>
      <c r="B571" s="38" t="s">
        <v>885</v>
      </c>
      <c r="C571" s="38" t="s">
        <v>886</v>
      </c>
      <c r="D571" s="38" t="s">
        <v>887</v>
      </c>
      <c r="E571" s="38" t="s">
        <v>1572</v>
      </c>
      <c r="F571" s="38">
        <f t="shared" si="67"/>
        <v>2025</v>
      </c>
      <c r="G571" s="38" t="str">
        <f t="shared" si="68"/>
        <v>November</v>
      </c>
      <c r="H571" s="30">
        <v>281759</v>
      </c>
      <c r="I571" s="30">
        <v>18036</v>
      </c>
      <c r="J571" s="39">
        <v>3182</v>
      </c>
      <c r="K571" s="39">
        <v>2035</v>
      </c>
      <c r="L571" s="39">
        <v>1042</v>
      </c>
      <c r="M571" s="40">
        <v>149263.62</v>
      </c>
      <c r="N571" s="40">
        <v>7035403.19</v>
      </c>
      <c r="O571" s="33">
        <f t="shared" si="71"/>
        <v>6.4</v>
      </c>
      <c r="P571" s="34">
        <f t="shared" si="69"/>
        <v>46.9087429289755</v>
      </c>
      <c r="Q571" s="35">
        <f t="shared" si="70"/>
        <v>47.1340785517596</v>
      </c>
      <c r="R571" s="35">
        <f t="shared" si="72"/>
        <v>8.27587159015303</v>
      </c>
      <c r="S571" s="33">
        <f t="shared" si="73"/>
        <v>529.76</v>
      </c>
      <c r="T571" s="36">
        <f t="shared" si="74"/>
        <v>4613.41</v>
      </c>
    </row>
    <row r="572" spans="1:20">
      <c r="A572" s="28">
        <v>45996</v>
      </c>
      <c r="B572" s="29" t="s">
        <v>1128</v>
      </c>
      <c r="C572" s="29" t="s">
        <v>1129</v>
      </c>
      <c r="D572" s="29" t="s">
        <v>1130</v>
      </c>
      <c r="E572" s="29" t="s">
        <v>1574</v>
      </c>
      <c r="F572" s="29">
        <f t="shared" si="67"/>
        <v>2025</v>
      </c>
      <c r="G572" s="29" t="str">
        <f t="shared" si="68"/>
        <v>December</v>
      </c>
      <c r="H572" s="30">
        <v>109219</v>
      </c>
      <c r="I572" s="30">
        <v>6309</v>
      </c>
      <c r="J572" s="31">
        <v>1002</v>
      </c>
      <c r="K572" s="31">
        <v>621</v>
      </c>
      <c r="L572" s="31">
        <v>302</v>
      </c>
      <c r="M572" s="32">
        <v>80141.73</v>
      </c>
      <c r="N572" s="32">
        <v>1535750.35</v>
      </c>
      <c r="O572" s="33">
        <f t="shared" si="71"/>
        <v>5.78</v>
      </c>
      <c r="P572" s="34">
        <f t="shared" si="69"/>
        <v>79.9817664670659</v>
      </c>
      <c r="Q572" s="35">
        <f t="shared" si="70"/>
        <v>19.1629298494056</v>
      </c>
      <c r="R572" s="35">
        <f t="shared" si="72"/>
        <v>12.7027627199239</v>
      </c>
      <c r="S572" s="33">
        <f t="shared" si="73"/>
        <v>733.77</v>
      </c>
      <c r="T572" s="36">
        <f t="shared" si="74"/>
        <v>1816.29</v>
      </c>
    </row>
    <row r="573" spans="1:20">
      <c r="A573" s="37">
        <v>45996</v>
      </c>
      <c r="B573" s="38" t="s">
        <v>885</v>
      </c>
      <c r="C573" s="38" t="s">
        <v>886</v>
      </c>
      <c r="D573" s="38" t="s">
        <v>887</v>
      </c>
      <c r="E573" s="38" t="s">
        <v>1571</v>
      </c>
      <c r="F573" s="38">
        <f t="shared" si="67"/>
        <v>2025</v>
      </c>
      <c r="G573" s="38" t="str">
        <f t="shared" si="68"/>
        <v>December</v>
      </c>
      <c r="H573" s="30">
        <v>56655</v>
      </c>
      <c r="I573" s="30">
        <v>3075</v>
      </c>
      <c r="J573" s="39">
        <v>664</v>
      </c>
      <c r="K573" s="39">
        <v>314</v>
      </c>
      <c r="L573" s="39">
        <v>152</v>
      </c>
      <c r="M573" s="40">
        <v>22689.88</v>
      </c>
      <c r="N573" s="40">
        <v>1129547.78</v>
      </c>
      <c r="O573" s="33">
        <f t="shared" si="71"/>
        <v>5.43</v>
      </c>
      <c r="P573" s="34">
        <f t="shared" si="69"/>
        <v>34.1715060240964</v>
      </c>
      <c r="Q573" s="35">
        <f t="shared" si="70"/>
        <v>49.7820076615654</v>
      </c>
      <c r="R573" s="35">
        <f t="shared" si="72"/>
        <v>7.37882276422764</v>
      </c>
      <c r="S573" s="33">
        <f t="shared" si="73"/>
        <v>400.49</v>
      </c>
      <c r="T573" s="36">
        <f t="shared" si="74"/>
        <v>4878.2</v>
      </c>
    </row>
    <row r="574" spans="1:20">
      <c r="A574" s="28">
        <v>45790</v>
      </c>
      <c r="B574" s="29" t="s">
        <v>1128</v>
      </c>
      <c r="C574" s="29" t="s">
        <v>1129</v>
      </c>
      <c r="D574" s="29" t="s">
        <v>1130</v>
      </c>
      <c r="E574" s="29" t="s">
        <v>1574</v>
      </c>
      <c r="F574" s="29">
        <f t="shared" si="67"/>
        <v>2025</v>
      </c>
      <c r="G574" s="29" t="str">
        <f t="shared" si="68"/>
        <v>May</v>
      </c>
      <c r="H574" s="30">
        <v>127468</v>
      </c>
      <c r="I574" s="30">
        <v>5926</v>
      </c>
      <c r="J574" s="31">
        <v>1247</v>
      </c>
      <c r="K574" s="31">
        <v>622</v>
      </c>
      <c r="L574" s="31">
        <v>336</v>
      </c>
      <c r="M574" s="32">
        <v>101926.37</v>
      </c>
      <c r="N574" s="32">
        <v>1859496.88</v>
      </c>
      <c r="O574" s="33">
        <f t="shared" si="71"/>
        <v>4.65</v>
      </c>
      <c r="P574" s="34">
        <f t="shared" si="69"/>
        <v>81.7372654370489</v>
      </c>
      <c r="Q574" s="35">
        <f t="shared" si="70"/>
        <v>18.2435308939188</v>
      </c>
      <c r="R574" s="35">
        <f t="shared" si="72"/>
        <v>17.1998599392508</v>
      </c>
      <c r="S574" s="33">
        <f t="shared" si="73"/>
        <v>799.62</v>
      </c>
      <c r="T574" s="36">
        <f t="shared" si="74"/>
        <v>1724.35</v>
      </c>
    </row>
    <row r="575" spans="1:20">
      <c r="A575" s="37">
        <v>45790</v>
      </c>
      <c r="B575" s="38" t="s">
        <v>885</v>
      </c>
      <c r="C575" s="38" t="s">
        <v>886</v>
      </c>
      <c r="D575" s="38" t="s">
        <v>887</v>
      </c>
      <c r="E575" s="38" t="s">
        <v>1572</v>
      </c>
      <c r="F575" s="38">
        <f t="shared" si="67"/>
        <v>2025</v>
      </c>
      <c r="G575" s="38" t="str">
        <f t="shared" si="68"/>
        <v>May</v>
      </c>
      <c r="H575" s="30">
        <v>263989</v>
      </c>
      <c r="I575" s="30">
        <v>20499</v>
      </c>
      <c r="J575" s="39">
        <v>4960</v>
      </c>
      <c r="K575" s="39">
        <v>3112</v>
      </c>
      <c r="L575" s="39">
        <v>1581</v>
      </c>
      <c r="M575" s="40">
        <v>241710.75</v>
      </c>
      <c r="N575" s="40">
        <v>10422582.66</v>
      </c>
      <c r="O575" s="33">
        <f t="shared" si="71"/>
        <v>7.77</v>
      </c>
      <c r="P575" s="34">
        <f t="shared" si="69"/>
        <v>48.7320060483871</v>
      </c>
      <c r="Q575" s="35">
        <f t="shared" si="70"/>
        <v>43.1200625541065</v>
      </c>
      <c r="R575" s="35">
        <f t="shared" si="72"/>
        <v>11.7913434801698</v>
      </c>
      <c r="S575" s="33">
        <f t="shared" si="73"/>
        <v>915.61</v>
      </c>
      <c r="T575" s="36">
        <f t="shared" si="74"/>
        <v>4212.01</v>
      </c>
    </row>
    <row r="576" spans="1:20">
      <c r="A576" s="28">
        <v>45791</v>
      </c>
      <c r="B576" s="29" t="s">
        <v>1128</v>
      </c>
      <c r="C576" s="29" t="s">
        <v>1129</v>
      </c>
      <c r="D576" s="29" t="s">
        <v>1130</v>
      </c>
      <c r="E576" s="29" t="s">
        <v>1574</v>
      </c>
      <c r="F576" s="29">
        <f t="shared" si="67"/>
        <v>2025</v>
      </c>
      <c r="G576" s="29" t="str">
        <f t="shared" si="68"/>
        <v>May</v>
      </c>
      <c r="H576" s="30">
        <v>216556</v>
      </c>
      <c r="I576" s="30">
        <v>14437</v>
      </c>
      <c r="J576" s="31">
        <v>2858</v>
      </c>
      <c r="K576" s="31">
        <v>1623</v>
      </c>
      <c r="L576" s="31">
        <v>754</v>
      </c>
      <c r="M576" s="32">
        <v>187567.69</v>
      </c>
      <c r="N576" s="32">
        <v>2602263.33</v>
      </c>
      <c r="O576" s="33">
        <f t="shared" si="71"/>
        <v>6.67</v>
      </c>
      <c r="P576" s="34">
        <f t="shared" si="69"/>
        <v>65.6290027991602</v>
      </c>
      <c r="Q576" s="35">
        <f t="shared" si="70"/>
        <v>13.8737291587906</v>
      </c>
      <c r="R576" s="35">
        <f t="shared" si="72"/>
        <v>12.9921514164993</v>
      </c>
      <c r="S576" s="33">
        <f t="shared" si="73"/>
        <v>866.14</v>
      </c>
      <c r="T576" s="36">
        <f t="shared" si="74"/>
        <v>1287.37</v>
      </c>
    </row>
    <row r="577" spans="1:20">
      <c r="A577" s="37">
        <v>45791</v>
      </c>
      <c r="B577" s="38" t="s">
        <v>885</v>
      </c>
      <c r="C577" s="38" t="s">
        <v>886</v>
      </c>
      <c r="D577" s="38" t="s">
        <v>887</v>
      </c>
      <c r="E577" s="38" t="s">
        <v>1573</v>
      </c>
      <c r="F577" s="38">
        <f t="shared" si="67"/>
        <v>2025</v>
      </c>
      <c r="G577" s="38" t="str">
        <f t="shared" si="68"/>
        <v>May</v>
      </c>
      <c r="H577" s="30">
        <v>176419</v>
      </c>
      <c r="I577" s="30">
        <v>6312</v>
      </c>
      <c r="J577" s="39">
        <v>1409</v>
      </c>
      <c r="K577" s="39">
        <v>877</v>
      </c>
      <c r="L577" s="39">
        <v>517</v>
      </c>
      <c r="M577" s="40">
        <v>156086.32</v>
      </c>
      <c r="N577" s="40">
        <v>3922073.17</v>
      </c>
      <c r="O577" s="33">
        <f t="shared" si="71"/>
        <v>3.58</v>
      </c>
      <c r="P577" s="34">
        <f t="shared" si="69"/>
        <v>110.778083747339</v>
      </c>
      <c r="Q577" s="35">
        <f t="shared" si="70"/>
        <v>25.1275907459411</v>
      </c>
      <c r="R577" s="35">
        <f t="shared" si="72"/>
        <v>24.7285044359949</v>
      </c>
      <c r="S577" s="33">
        <f t="shared" si="73"/>
        <v>884.75</v>
      </c>
      <c r="T577" s="36">
        <f t="shared" si="74"/>
        <v>2412.76</v>
      </c>
    </row>
    <row r="578" spans="1:20">
      <c r="A578" s="28">
        <v>45792</v>
      </c>
      <c r="B578" s="29" t="s">
        <v>1128</v>
      </c>
      <c r="C578" s="29" t="s">
        <v>1129</v>
      </c>
      <c r="D578" s="29" t="s">
        <v>1130</v>
      </c>
      <c r="E578" s="29" t="s">
        <v>1574</v>
      </c>
      <c r="F578" s="29">
        <f t="shared" ref="F578:F641" si="75">YEAR(A578)</f>
        <v>2025</v>
      </c>
      <c r="G578" s="29" t="str">
        <f t="shared" ref="G578:G641" si="76">TEXT(A578,"mmmm")</f>
        <v>May</v>
      </c>
      <c r="H578" s="30">
        <v>104288</v>
      </c>
      <c r="I578" s="30">
        <v>4814</v>
      </c>
      <c r="J578" s="31">
        <v>768</v>
      </c>
      <c r="K578" s="31">
        <v>360</v>
      </c>
      <c r="L578" s="31">
        <v>179</v>
      </c>
      <c r="M578" s="32">
        <v>86527.19</v>
      </c>
      <c r="N578" s="32">
        <v>937902.93</v>
      </c>
      <c r="O578" s="33">
        <f t="shared" si="71"/>
        <v>4.62</v>
      </c>
      <c r="P578" s="34">
        <f t="shared" ref="P578:P641" si="77">M578/J578</f>
        <v>112.665611979167</v>
      </c>
      <c r="Q578" s="35">
        <f t="shared" ref="Q578:Q641" si="78">N578/M578</f>
        <v>10.8394012333002</v>
      </c>
      <c r="R578" s="35">
        <f t="shared" si="72"/>
        <v>17.9740735355214</v>
      </c>
      <c r="S578" s="33">
        <f t="shared" si="73"/>
        <v>829.69</v>
      </c>
      <c r="T578" s="36">
        <f t="shared" si="74"/>
        <v>983.94</v>
      </c>
    </row>
    <row r="579" spans="1:20">
      <c r="A579" s="37">
        <v>45792</v>
      </c>
      <c r="B579" s="38" t="s">
        <v>885</v>
      </c>
      <c r="C579" s="38" t="s">
        <v>886</v>
      </c>
      <c r="D579" s="38" t="s">
        <v>887</v>
      </c>
      <c r="E579" s="38" t="s">
        <v>1573</v>
      </c>
      <c r="F579" s="38">
        <f t="shared" si="75"/>
        <v>2025</v>
      </c>
      <c r="G579" s="38" t="str">
        <f t="shared" si="76"/>
        <v>May</v>
      </c>
      <c r="H579" s="30">
        <v>246319</v>
      </c>
      <c r="I579" s="30">
        <v>18568</v>
      </c>
      <c r="J579" s="39">
        <v>2933</v>
      </c>
      <c r="K579" s="39">
        <v>1874</v>
      </c>
      <c r="L579" s="39">
        <v>956</v>
      </c>
      <c r="M579" s="40">
        <v>223803.59</v>
      </c>
      <c r="N579" s="40">
        <v>5348861.97</v>
      </c>
      <c r="O579" s="33">
        <f t="shared" ref="O579:O642" si="79">ROUND(I579/H579*100,2)</f>
        <v>7.54</v>
      </c>
      <c r="P579" s="34">
        <f t="shared" si="77"/>
        <v>76.3053494715309</v>
      </c>
      <c r="Q579" s="35">
        <f t="shared" si="78"/>
        <v>23.8998041541693</v>
      </c>
      <c r="R579" s="35">
        <f t="shared" si="72"/>
        <v>12.0531877423524</v>
      </c>
      <c r="S579" s="33">
        <f t="shared" si="73"/>
        <v>908.59</v>
      </c>
      <c r="T579" s="36">
        <f t="shared" si="74"/>
        <v>2289.98</v>
      </c>
    </row>
    <row r="580" spans="1:20">
      <c r="A580" s="28">
        <v>45793</v>
      </c>
      <c r="B580" s="29" t="s">
        <v>1128</v>
      </c>
      <c r="C580" s="29" t="s">
        <v>1129</v>
      </c>
      <c r="D580" s="29" t="s">
        <v>1130</v>
      </c>
      <c r="E580" s="29" t="s">
        <v>1574</v>
      </c>
      <c r="F580" s="29">
        <f t="shared" si="75"/>
        <v>2025</v>
      </c>
      <c r="G580" s="29" t="str">
        <f t="shared" si="76"/>
        <v>May</v>
      </c>
      <c r="H580" s="30">
        <v>272620</v>
      </c>
      <c r="I580" s="30">
        <v>19195</v>
      </c>
      <c r="J580" s="31">
        <v>3980</v>
      </c>
      <c r="K580" s="31">
        <v>1800</v>
      </c>
      <c r="L580" s="31">
        <v>723</v>
      </c>
      <c r="M580" s="32">
        <v>190013.67</v>
      </c>
      <c r="N580" s="32">
        <v>4634332.36</v>
      </c>
      <c r="O580" s="33">
        <f t="shared" si="79"/>
        <v>7.04</v>
      </c>
      <c r="P580" s="34">
        <f t="shared" si="77"/>
        <v>47.7421281407035</v>
      </c>
      <c r="Q580" s="35">
        <f t="shared" si="78"/>
        <v>24.389468189315</v>
      </c>
      <c r="R580" s="35">
        <f t="shared" si="72"/>
        <v>9.89912320916905</v>
      </c>
      <c r="S580" s="33">
        <f t="shared" si="73"/>
        <v>696.99</v>
      </c>
      <c r="T580" s="36">
        <f t="shared" si="74"/>
        <v>2338.95</v>
      </c>
    </row>
    <row r="581" spans="1:20">
      <c r="A581" s="37">
        <v>45793</v>
      </c>
      <c r="B581" s="38" t="s">
        <v>885</v>
      </c>
      <c r="C581" s="38" t="s">
        <v>886</v>
      </c>
      <c r="D581" s="38" t="s">
        <v>887</v>
      </c>
      <c r="E581" s="38" t="s">
        <v>1571</v>
      </c>
      <c r="F581" s="38">
        <f t="shared" si="75"/>
        <v>2025</v>
      </c>
      <c r="G581" s="38" t="str">
        <f t="shared" si="76"/>
        <v>May</v>
      </c>
      <c r="H581" s="30">
        <v>135416</v>
      </c>
      <c r="I581" s="30">
        <v>9754</v>
      </c>
      <c r="J581" s="39">
        <v>1804</v>
      </c>
      <c r="K581" s="39">
        <v>831</v>
      </c>
      <c r="L581" s="39">
        <v>444</v>
      </c>
      <c r="M581" s="40">
        <v>111777.17</v>
      </c>
      <c r="N581" s="40">
        <v>2526118.07</v>
      </c>
      <c r="O581" s="33">
        <f t="shared" si="79"/>
        <v>7.2</v>
      </c>
      <c r="P581" s="34">
        <f t="shared" si="77"/>
        <v>61.9607372505543</v>
      </c>
      <c r="Q581" s="35">
        <f t="shared" si="78"/>
        <v>22.5995887174456</v>
      </c>
      <c r="R581" s="35">
        <f t="shared" si="72"/>
        <v>11.459623744105</v>
      </c>
      <c r="S581" s="33">
        <f t="shared" si="73"/>
        <v>825.44</v>
      </c>
      <c r="T581" s="36">
        <f t="shared" si="74"/>
        <v>2159.96</v>
      </c>
    </row>
    <row r="582" spans="1:20">
      <c r="A582" s="28">
        <v>45794</v>
      </c>
      <c r="B582" s="29" t="s">
        <v>1128</v>
      </c>
      <c r="C582" s="29" t="s">
        <v>1129</v>
      </c>
      <c r="D582" s="29" t="s">
        <v>1130</v>
      </c>
      <c r="E582" s="29" t="s">
        <v>1574</v>
      </c>
      <c r="F582" s="29">
        <f t="shared" si="75"/>
        <v>2025</v>
      </c>
      <c r="G582" s="29" t="str">
        <f t="shared" si="76"/>
        <v>May</v>
      </c>
      <c r="H582" s="30">
        <v>205846</v>
      </c>
      <c r="I582" s="30">
        <v>16047</v>
      </c>
      <c r="J582" s="31">
        <v>2839</v>
      </c>
      <c r="K582" s="31">
        <v>1461</v>
      </c>
      <c r="L582" s="31">
        <v>602</v>
      </c>
      <c r="M582" s="32">
        <v>109111.63</v>
      </c>
      <c r="N582" s="32">
        <v>3266642.53</v>
      </c>
      <c r="O582" s="33">
        <f t="shared" si="79"/>
        <v>7.8</v>
      </c>
      <c r="P582" s="34">
        <f t="shared" si="77"/>
        <v>38.4331208171892</v>
      </c>
      <c r="Q582" s="35">
        <f t="shared" si="78"/>
        <v>29.9385366161242</v>
      </c>
      <c r="R582" s="35">
        <f t="shared" si="72"/>
        <v>6.7995033339565</v>
      </c>
      <c r="S582" s="33">
        <f t="shared" si="73"/>
        <v>530.06</v>
      </c>
      <c r="T582" s="36">
        <f t="shared" si="74"/>
        <v>2893.85</v>
      </c>
    </row>
    <row r="583" spans="1:20">
      <c r="A583" s="37">
        <v>45794</v>
      </c>
      <c r="B583" s="38" t="s">
        <v>885</v>
      </c>
      <c r="C583" s="38" t="s">
        <v>886</v>
      </c>
      <c r="D583" s="38" t="s">
        <v>887</v>
      </c>
      <c r="E583" s="38" t="s">
        <v>1571</v>
      </c>
      <c r="F583" s="38">
        <f t="shared" si="75"/>
        <v>2025</v>
      </c>
      <c r="G583" s="38" t="str">
        <f t="shared" si="76"/>
        <v>May</v>
      </c>
      <c r="H583" s="30">
        <v>277369</v>
      </c>
      <c r="I583" s="30">
        <v>9937</v>
      </c>
      <c r="J583" s="39">
        <v>2473</v>
      </c>
      <c r="K583" s="39">
        <v>1558</v>
      </c>
      <c r="L583" s="39">
        <v>780</v>
      </c>
      <c r="M583" s="40">
        <v>197982.71</v>
      </c>
      <c r="N583" s="40">
        <v>4085031.86</v>
      </c>
      <c r="O583" s="33">
        <f t="shared" si="79"/>
        <v>3.58</v>
      </c>
      <c r="P583" s="34">
        <f t="shared" si="77"/>
        <v>80.0577072381723</v>
      </c>
      <c r="Q583" s="35">
        <f t="shared" si="78"/>
        <v>20.6332758047407</v>
      </c>
      <c r="R583" s="35">
        <f t="shared" si="72"/>
        <v>19.9237908825601</v>
      </c>
      <c r="S583" s="33">
        <f t="shared" si="73"/>
        <v>713.79</v>
      </c>
      <c r="T583" s="36">
        <f t="shared" si="74"/>
        <v>1963.33</v>
      </c>
    </row>
    <row r="584" spans="1:20">
      <c r="A584" s="28">
        <v>45795</v>
      </c>
      <c r="B584" s="29" t="s">
        <v>1128</v>
      </c>
      <c r="C584" s="29" t="s">
        <v>1129</v>
      </c>
      <c r="D584" s="29" t="s">
        <v>1130</v>
      </c>
      <c r="E584" s="29" t="s">
        <v>1574</v>
      </c>
      <c r="F584" s="29">
        <f t="shared" si="75"/>
        <v>2025</v>
      </c>
      <c r="G584" s="29" t="str">
        <f t="shared" si="76"/>
        <v>May</v>
      </c>
      <c r="H584" s="30">
        <v>73028</v>
      </c>
      <c r="I584" s="30">
        <v>3043</v>
      </c>
      <c r="J584" s="31">
        <v>537</v>
      </c>
      <c r="K584" s="31">
        <v>345</v>
      </c>
      <c r="L584" s="31">
        <v>157</v>
      </c>
      <c r="M584" s="32">
        <v>45541.08</v>
      </c>
      <c r="N584" s="32">
        <v>698667.79</v>
      </c>
      <c r="O584" s="33">
        <f t="shared" si="79"/>
        <v>4.17</v>
      </c>
      <c r="P584" s="34">
        <f t="shared" si="77"/>
        <v>84.8064804469274</v>
      </c>
      <c r="Q584" s="35">
        <f t="shared" si="78"/>
        <v>15.3414848747548</v>
      </c>
      <c r="R584" s="35">
        <f t="shared" si="72"/>
        <v>14.9658494906342</v>
      </c>
      <c r="S584" s="33">
        <f t="shared" si="73"/>
        <v>623.61</v>
      </c>
      <c r="T584" s="36">
        <f t="shared" si="74"/>
        <v>1434.15</v>
      </c>
    </row>
    <row r="585" spans="1:20">
      <c r="A585" s="37">
        <v>45795</v>
      </c>
      <c r="B585" s="38" t="s">
        <v>885</v>
      </c>
      <c r="C585" s="38" t="s">
        <v>886</v>
      </c>
      <c r="D585" s="38" t="s">
        <v>887</v>
      </c>
      <c r="E585" s="38" t="s">
        <v>1571</v>
      </c>
      <c r="F585" s="38">
        <f t="shared" si="75"/>
        <v>2025</v>
      </c>
      <c r="G585" s="38" t="str">
        <f t="shared" si="76"/>
        <v>May</v>
      </c>
      <c r="H585" s="30">
        <v>154431</v>
      </c>
      <c r="I585" s="30">
        <v>8758</v>
      </c>
      <c r="J585" s="39">
        <v>1526</v>
      </c>
      <c r="K585" s="39">
        <v>770</v>
      </c>
      <c r="L585" s="39">
        <v>401</v>
      </c>
      <c r="M585" s="40">
        <v>67378.69</v>
      </c>
      <c r="N585" s="40">
        <v>3182834.15</v>
      </c>
      <c r="O585" s="33">
        <f t="shared" si="79"/>
        <v>5.67</v>
      </c>
      <c r="P585" s="34">
        <f t="shared" si="77"/>
        <v>44.1537942332896</v>
      </c>
      <c r="Q585" s="35">
        <f t="shared" si="78"/>
        <v>47.2379939414079</v>
      </c>
      <c r="R585" s="35">
        <f t="shared" si="72"/>
        <v>7.6933877597625</v>
      </c>
      <c r="S585" s="33">
        <f t="shared" si="73"/>
        <v>436.3</v>
      </c>
      <c r="T585" s="36">
        <f t="shared" si="74"/>
        <v>4623.8</v>
      </c>
    </row>
    <row r="586" spans="1:20">
      <c r="A586" s="28">
        <v>45796</v>
      </c>
      <c r="B586" s="29" t="s">
        <v>1128</v>
      </c>
      <c r="C586" s="29" t="s">
        <v>1129</v>
      </c>
      <c r="D586" s="29" t="s">
        <v>1130</v>
      </c>
      <c r="E586" s="29" t="s">
        <v>1574</v>
      </c>
      <c r="F586" s="29">
        <f t="shared" si="75"/>
        <v>2025</v>
      </c>
      <c r="G586" s="29" t="str">
        <f t="shared" si="76"/>
        <v>May</v>
      </c>
      <c r="H586" s="30">
        <v>129271</v>
      </c>
      <c r="I586" s="30">
        <v>8596</v>
      </c>
      <c r="J586" s="31">
        <v>1731</v>
      </c>
      <c r="K586" s="31">
        <v>909</v>
      </c>
      <c r="L586" s="31">
        <v>413</v>
      </c>
      <c r="M586" s="32">
        <v>61223.52</v>
      </c>
      <c r="N586" s="32">
        <v>3212616.4</v>
      </c>
      <c r="O586" s="33">
        <f t="shared" si="79"/>
        <v>6.65</v>
      </c>
      <c r="P586" s="34">
        <f t="shared" si="77"/>
        <v>35.3688734835355</v>
      </c>
      <c r="Q586" s="35">
        <f t="shared" si="78"/>
        <v>52.4735657146143</v>
      </c>
      <c r="R586" s="35">
        <f t="shared" si="72"/>
        <v>7.12232666356445</v>
      </c>
      <c r="S586" s="33">
        <f t="shared" si="73"/>
        <v>473.61</v>
      </c>
      <c r="T586" s="36">
        <f t="shared" si="74"/>
        <v>5147.36</v>
      </c>
    </row>
    <row r="587" spans="1:20">
      <c r="A587" s="37">
        <v>45796</v>
      </c>
      <c r="B587" s="38" t="s">
        <v>885</v>
      </c>
      <c r="C587" s="38" t="s">
        <v>886</v>
      </c>
      <c r="D587" s="38" t="s">
        <v>887</v>
      </c>
      <c r="E587" s="38" t="s">
        <v>1573</v>
      </c>
      <c r="F587" s="38">
        <f t="shared" si="75"/>
        <v>2025</v>
      </c>
      <c r="G587" s="38" t="str">
        <f t="shared" si="76"/>
        <v>May</v>
      </c>
      <c r="H587" s="30">
        <v>294707</v>
      </c>
      <c r="I587" s="30">
        <v>9304</v>
      </c>
      <c r="J587" s="39">
        <v>1777</v>
      </c>
      <c r="K587" s="39">
        <v>925</v>
      </c>
      <c r="L587" s="39">
        <v>464</v>
      </c>
      <c r="M587" s="40">
        <v>171711.35</v>
      </c>
      <c r="N587" s="40">
        <v>1435655.76</v>
      </c>
      <c r="O587" s="33">
        <f t="shared" si="79"/>
        <v>3.16</v>
      </c>
      <c r="P587" s="34">
        <f t="shared" si="77"/>
        <v>96.6299099606078</v>
      </c>
      <c r="Q587" s="35">
        <f t="shared" si="78"/>
        <v>8.36086700151155</v>
      </c>
      <c r="R587" s="35">
        <f t="shared" si="72"/>
        <v>18.4556481083405</v>
      </c>
      <c r="S587" s="33">
        <f t="shared" si="73"/>
        <v>582.65</v>
      </c>
      <c r="T587" s="36">
        <f t="shared" si="74"/>
        <v>736.09</v>
      </c>
    </row>
    <row r="588" spans="1:20">
      <c r="A588" s="28">
        <v>45797</v>
      </c>
      <c r="B588" s="29" t="s">
        <v>1128</v>
      </c>
      <c r="C588" s="29" t="s">
        <v>1129</v>
      </c>
      <c r="D588" s="29" t="s">
        <v>1130</v>
      </c>
      <c r="E588" s="29" t="s">
        <v>1574</v>
      </c>
      <c r="F588" s="29">
        <f t="shared" si="75"/>
        <v>2025</v>
      </c>
      <c r="G588" s="29" t="str">
        <f t="shared" si="76"/>
        <v>May</v>
      </c>
      <c r="H588" s="30">
        <v>163842</v>
      </c>
      <c r="I588" s="30">
        <v>7426</v>
      </c>
      <c r="J588" s="31">
        <v>1233</v>
      </c>
      <c r="K588" s="31">
        <v>778</v>
      </c>
      <c r="L588" s="31">
        <v>374</v>
      </c>
      <c r="M588" s="32">
        <v>74194.66</v>
      </c>
      <c r="N588" s="32">
        <v>2531863.85</v>
      </c>
      <c r="O588" s="33">
        <f t="shared" si="79"/>
        <v>4.53</v>
      </c>
      <c r="P588" s="34">
        <f t="shared" si="77"/>
        <v>60.174095701541</v>
      </c>
      <c r="Q588" s="35">
        <f t="shared" si="78"/>
        <v>34.1246101808405</v>
      </c>
      <c r="R588" s="35">
        <f t="shared" si="72"/>
        <v>9.99120118502559</v>
      </c>
      <c r="S588" s="33">
        <f t="shared" si="73"/>
        <v>452.84</v>
      </c>
      <c r="T588" s="36">
        <f t="shared" si="74"/>
        <v>3312.46</v>
      </c>
    </row>
    <row r="589" spans="1:20">
      <c r="A589" s="37">
        <v>45797</v>
      </c>
      <c r="B589" s="38" t="s">
        <v>885</v>
      </c>
      <c r="C589" s="38" t="s">
        <v>886</v>
      </c>
      <c r="D589" s="38" t="s">
        <v>887</v>
      </c>
      <c r="E589" s="38" t="s">
        <v>1573</v>
      </c>
      <c r="F589" s="38">
        <f t="shared" si="75"/>
        <v>2025</v>
      </c>
      <c r="G589" s="38" t="str">
        <f t="shared" si="76"/>
        <v>May</v>
      </c>
      <c r="H589" s="30">
        <v>170906</v>
      </c>
      <c r="I589" s="30">
        <v>10548</v>
      </c>
      <c r="J589" s="39">
        <v>1817</v>
      </c>
      <c r="K589" s="39">
        <v>1173</v>
      </c>
      <c r="L589" s="39">
        <v>608</v>
      </c>
      <c r="M589" s="40">
        <v>123281.41</v>
      </c>
      <c r="N589" s="40">
        <v>2911291.7</v>
      </c>
      <c r="O589" s="33">
        <f t="shared" si="79"/>
        <v>6.17</v>
      </c>
      <c r="P589" s="34">
        <f t="shared" si="77"/>
        <v>67.8488772702256</v>
      </c>
      <c r="Q589" s="35">
        <f t="shared" si="78"/>
        <v>23.6150097569455</v>
      </c>
      <c r="R589" s="35">
        <f t="shared" si="72"/>
        <v>11.6876573758058</v>
      </c>
      <c r="S589" s="33">
        <f t="shared" si="73"/>
        <v>721.34</v>
      </c>
      <c r="T589" s="36">
        <f t="shared" si="74"/>
        <v>2261.5</v>
      </c>
    </row>
    <row r="590" spans="1:20">
      <c r="A590" s="28">
        <v>45798</v>
      </c>
      <c r="B590" s="29" t="s">
        <v>1128</v>
      </c>
      <c r="C590" s="29" t="s">
        <v>1129</v>
      </c>
      <c r="D590" s="29" t="s">
        <v>1130</v>
      </c>
      <c r="E590" s="29" t="s">
        <v>1574</v>
      </c>
      <c r="F590" s="29">
        <f t="shared" si="75"/>
        <v>2025</v>
      </c>
      <c r="G590" s="29" t="str">
        <f t="shared" si="76"/>
        <v>May</v>
      </c>
      <c r="H590" s="30">
        <v>61054</v>
      </c>
      <c r="I590" s="30">
        <v>3895</v>
      </c>
      <c r="J590" s="31">
        <v>951</v>
      </c>
      <c r="K590" s="31">
        <v>543</v>
      </c>
      <c r="L590" s="31">
        <v>240</v>
      </c>
      <c r="M590" s="32">
        <v>25073.99</v>
      </c>
      <c r="N590" s="32">
        <v>1266941.77</v>
      </c>
      <c r="O590" s="33">
        <f t="shared" si="79"/>
        <v>6.38</v>
      </c>
      <c r="P590" s="34">
        <f t="shared" si="77"/>
        <v>26.365920084122</v>
      </c>
      <c r="Q590" s="35">
        <f t="shared" si="78"/>
        <v>50.5281277531019</v>
      </c>
      <c r="R590" s="35">
        <f t="shared" si="72"/>
        <v>6.43748138639281</v>
      </c>
      <c r="S590" s="33">
        <f t="shared" si="73"/>
        <v>410.69</v>
      </c>
      <c r="T590" s="36">
        <f t="shared" si="74"/>
        <v>4952.81</v>
      </c>
    </row>
    <row r="591" spans="1:20">
      <c r="A591" s="37">
        <v>45798</v>
      </c>
      <c r="B591" s="38" t="s">
        <v>885</v>
      </c>
      <c r="C591" s="38" t="s">
        <v>886</v>
      </c>
      <c r="D591" s="38" t="s">
        <v>887</v>
      </c>
      <c r="E591" s="38" t="s">
        <v>1572</v>
      </c>
      <c r="F591" s="38">
        <f t="shared" si="75"/>
        <v>2025</v>
      </c>
      <c r="G591" s="38" t="str">
        <f t="shared" si="76"/>
        <v>May</v>
      </c>
      <c r="H591" s="30">
        <v>121352</v>
      </c>
      <c r="I591" s="30">
        <v>4064</v>
      </c>
      <c r="J591" s="39">
        <v>696</v>
      </c>
      <c r="K591" s="39">
        <v>357</v>
      </c>
      <c r="L591" s="39">
        <v>180</v>
      </c>
      <c r="M591" s="40">
        <v>54958.71</v>
      </c>
      <c r="N591" s="40">
        <v>941034.3</v>
      </c>
      <c r="O591" s="33">
        <f t="shared" si="79"/>
        <v>3.35</v>
      </c>
      <c r="P591" s="34">
        <f t="shared" si="77"/>
        <v>78.9636637931034</v>
      </c>
      <c r="Q591" s="35">
        <f t="shared" si="78"/>
        <v>17.1225689249256</v>
      </c>
      <c r="R591" s="35">
        <f t="shared" si="72"/>
        <v>13.5233046259843</v>
      </c>
      <c r="S591" s="33">
        <f t="shared" si="73"/>
        <v>452.89</v>
      </c>
      <c r="T591" s="36">
        <f t="shared" si="74"/>
        <v>1612.26</v>
      </c>
    </row>
    <row r="592" spans="1:20">
      <c r="A592" s="28">
        <v>45799</v>
      </c>
      <c r="B592" s="29" t="s">
        <v>1128</v>
      </c>
      <c r="C592" s="29" t="s">
        <v>1129</v>
      </c>
      <c r="D592" s="29" t="s">
        <v>1130</v>
      </c>
      <c r="E592" s="29" t="s">
        <v>1574</v>
      </c>
      <c r="F592" s="29">
        <f t="shared" si="75"/>
        <v>2025</v>
      </c>
      <c r="G592" s="29" t="str">
        <f t="shared" si="76"/>
        <v>May</v>
      </c>
      <c r="H592" s="30">
        <v>109881</v>
      </c>
      <c r="I592" s="30">
        <v>4764</v>
      </c>
      <c r="J592" s="31">
        <v>991</v>
      </c>
      <c r="K592" s="31">
        <v>450</v>
      </c>
      <c r="L592" s="31">
        <v>232</v>
      </c>
      <c r="M592" s="32">
        <v>99134.91</v>
      </c>
      <c r="N592" s="32">
        <v>1580447.82</v>
      </c>
      <c r="O592" s="33">
        <f t="shared" si="79"/>
        <v>4.34</v>
      </c>
      <c r="P592" s="34">
        <f t="shared" si="77"/>
        <v>100.035227043391</v>
      </c>
      <c r="Q592" s="35">
        <f t="shared" si="78"/>
        <v>15.9423942584908</v>
      </c>
      <c r="R592" s="35">
        <f t="shared" si="72"/>
        <v>20.8091750629723</v>
      </c>
      <c r="S592" s="33">
        <f t="shared" si="73"/>
        <v>902.2</v>
      </c>
      <c r="T592" s="36">
        <f t="shared" si="74"/>
        <v>1494.24</v>
      </c>
    </row>
    <row r="593" spans="1:20">
      <c r="A593" s="37">
        <v>45799</v>
      </c>
      <c r="B593" s="38" t="s">
        <v>885</v>
      </c>
      <c r="C593" s="38" t="s">
        <v>886</v>
      </c>
      <c r="D593" s="38" t="s">
        <v>887</v>
      </c>
      <c r="E593" s="38" t="s">
        <v>1571</v>
      </c>
      <c r="F593" s="38">
        <f t="shared" si="75"/>
        <v>2025</v>
      </c>
      <c r="G593" s="38" t="str">
        <f t="shared" si="76"/>
        <v>May</v>
      </c>
      <c r="H593" s="30">
        <v>228338</v>
      </c>
      <c r="I593" s="30">
        <v>16682</v>
      </c>
      <c r="J593" s="39">
        <v>2885</v>
      </c>
      <c r="K593" s="39">
        <v>1390</v>
      </c>
      <c r="L593" s="39">
        <v>593</v>
      </c>
      <c r="M593" s="40">
        <v>202855.34</v>
      </c>
      <c r="N593" s="40">
        <v>4698879.46</v>
      </c>
      <c r="O593" s="33">
        <f t="shared" si="79"/>
        <v>7.31</v>
      </c>
      <c r="P593" s="34">
        <f t="shared" si="77"/>
        <v>70.3138093587522</v>
      </c>
      <c r="Q593" s="35">
        <f t="shared" si="78"/>
        <v>23.1636961590461</v>
      </c>
      <c r="R593" s="35">
        <f t="shared" si="72"/>
        <v>12.1601330775686</v>
      </c>
      <c r="S593" s="33">
        <f t="shared" si="73"/>
        <v>888.4</v>
      </c>
      <c r="T593" s="36">
        <f t="shared" si="74"/>
        <v>2216.37</v>
      </c>
    </row>
    <row r="594" spans="1:20">
      <c r="A594" s="28">
        <v>45800</v>
      </c>
      <c r="B594" s="29" t="s">
        <v>1128</v>
      </c>
      <c r="C594" s="29" t="s">
        <v>1129</v>
      </c>
      <c r="D594" s="29" t="s">
        <v>1130</v>
      </c>
      <c r="E594" s="29" t="s">
        <v>1574</v>
      </c>
      <c r="F594" s="29">
        <f t="shared" si="75"/>
        <v>2025</v>
      </c>
      <c r="G594" s="29" t="str">
        <f t="shared" si="76"/>
        <v>May</v>
      </c>
      <c r="H594" s="30">
        <v>138950</v>
      </c>
      <c r="I594" s="30">
        <v>8247</v>
      </c>
      <c r="J594" s="31">
        <v>1433</v>
      </c>
      <c r="K594" s="31">
        <v>743</v>
      </c>
      <c r="L594" s="31">
        <v>371</v>
      </c>
      <c r="M594" s="32">
        <v>87585.26</v>
      </c>
      <c r="N594" s="32">
        <v>2275198.26</v>
      </c>
      <c r="O594" s="33">
        <f t="shared" si="79"/>
        <v>5.94</v>
      </c>
      <c r="P594" s="34">
        <f t="shared" si="77"/>
        <v>61.1202093510119</v>
      </c>
      <c r="Q594" s="35">
        <f t="shared" si="78"/>
        <v>25.9769538847062</v>
      </c>
      <c r="R594" s="35">
        <f t="shared" si="72"/>
        <v>10.6202570631745</v>
      </c>
      <c r="S594" s="33">
        <f t="shared" si="73"/>
        <v>630.34</v>
      </c>
      <c r="T594" s="36">
        <f t="shared" si="74"/>
        <v>2497.7</v>
      </c>
    </row>
    <row r="595" spans="1:20">
      <c r="A595" s="37">
        <v>45800</v>
      </c>
      <c r="B595" s="38" t="s">
        <v>885</v>
      </c>
      <c r="C595" s="38" t="s">
        <v>886</v>
      </c>
      <c r="D595" s="38" t="s">
        <v>887</v>
      </c>
      <c r="E595" s="38" t="s">
        <v>1573</v>
      </c>
      <c r="F595" s="38">
        <f t="shared" si="75"/>
        <v>2025</v>
      </c>
      <c r="G595" s="38" t="str">
        <f t="shared" si="76"/>
        <v>May</v>
      </c>
      <c r="H595" s="30">
        <v>81571</v>
      </c>
      <c r="I595" s="30">
        <v>6335</v>
      </c>
      <c r="J595" s="39">
        <v>1288</v>
      </c>
      <c r="K595" s="39">
        <v>609</v>
      </c>
      <c r="L595" s="39">
        <v>288</v>
      </c>
      <c r="M595" s="40">
        <v>69379.64</v>
      </c>
      <c r="N595" s="40">
        <v>1003969.21</v>
      </c>
      <c r="O595" s="33">
        <f t="shared" si="79"/>
        <v>7.77</v>
      </c>
      <c r="P595" s="34">
        <f t="shared" si="77"/>
        <v>53.8661801242236</v>
      </c>
      <c r="Q595" s="35">
        <f t="shared" si="78"/>
        <v>14.4706604127666</v>
      </c>
      <c r="R595" s="35">
        <f t="shared" si="72"/>
        <v>10.9517979479084</v>
      </c>
      <c r="S595" s="33">
        <f t="shared" si="73"/>
        <v>850.54</v>
      </c>
      <c r="T595" s="36">
        <f t="shared" si="74"/>
        <v>1347.07</v>
      </c>
    </row>
    <row r="596" spans="1:20">
      <c r="A596" s="28">
        <v>45801</v>
      </c>
      <c r="B596" s="29" t="s">
        <v>1128</v>
      </c>
      <c r="C596" s="29" t="s">
        <v>1129</v>
      </c>
      <c r="D596" s="29" t="s">
        <v>1130</v>
      </c>
      <c r="E596" s="29" t="s">
        <v>1574</v>
      </c>
      <c r="F596" s="29">
        <f t="shared" si="75"/>
        <v>2025</v>
      </c>
      <c r="G596" s="29" t="str">
        <f t="shared" si="76"/>
        <v>May</v>
      </c>
      <c r="H596" s="30">
        <v>261935</v>
      </c>
      <c r="I596" s="30">
        <v>11611</v>
      </c>
      <c r="J596" s="31">
        <v>1967</v>
      </c>
      <c r="K596" s="31">
        <v>1027</v>
      </c>
      <c r="L596" s="31">
        <v>604</v>
      </c>
      <c r="M596" s="32">
        <v>209519.18</v>
      </c>
      <c r="N596" s="32">
        <v>3096991.33</v>
      </c>
      <c r="O596" s="33">
        <f t="shared" si="79"/>
        <v>4.43</v>
      </c>
      <c r="P596" s="34">
        <f t="shared" si="77"/>
        <v>106.517122521607</v>
      </c>
      <c r="Q596" s="35">
        <f t="shared" si="78"/>
        <v>14.7814215863197</v>
      </c>
      <c r="R596" s="35">
        <f t="shared" si="72"/>
        <v>18.0448867453277</v>
      </c>
      <c r="S596" s="33">
        <f t="shared" si="73"/>
        <v>799.89</v>
      </c>
      <c r="T596" s="36">
        <f t="shared" si="74"/>
        <v>1378.14</v>
      </c>
    </row>
    <row r="597" spans="1:20">
      <c r="A597" s="37">
        <v>45801</v>
      </c>
      <c r="B597" s="38" t="s">
        <v>885</v>
      </c>
      <c r="C597" s="38" t="s">
        <v>886</v>
      </c>
      <c r="D597" s="38" t="s">
        <v>887</v>
      </c>
      <c r="E597" s="38" t="s">
        <v>1572</v>
      </c>
      <c r="F597" s="38">
        <f t="shared" si="75"/>
        <v>2025</v>
      </c>
      <c r="G597" s="38" t="str">
        <f t="shared" si="76"/>
        <v>May</v>
      </c>
      <c r="H597" s="30">
        <v>107849</v>
      </c>
      <c r="I597" s="30">
        <v>6825</v>
      </c>
      <c r="J597" s="39">
        <v>1489</v>
      </c>
      <c r="K597" s="39">
        <v>749</v>
      </c>
      <c r="L597" s="39">
        <v>394</v>
      </c>
      <c r="M597" s="40">
        <v>81201.03</v>
      </c>
      <c r="N597" s="40">
        <v>1255931.71</v>
      </c>
      <c r="O597" s="33">
        <f t="shared" si="79"/>
        <v>6.33</v>
      </c>
      <c r="P597" s="34">
        <f t="shared" si="77"/>
        <v>54.5339355271995</v>
      </c>
      <c r="Q597" s="35">
        <f t="shared" si="78"/>
        <v>15.4669430917317</v>
      </c>
      <c r="R597" s="35">
        <f t="shared" si="72"/>
        <v>11.8975868131868</v>
      </c>
      <c r="S597" s="33">
        <f t="shared" si="73"/>
        <v>752.91</v>
      </c>
      <c r="T597" s="36">
        <f t="shared" si="74"/>
        <v>1446.69</v>
      </c>
    </row>
    <row r="598" spans="1:20">
      <c r="A598" s="28">
        <v>45802</v>
      </c>
      <c r="B598" s="29" t="s">
        <v>1128</v>
      </c>
      <c r="C598" s="29" t="s">
        <v>1129</v>
      </c>
      <c r="D598" s="29" t="s">
        <v>1130</v>
      </c>
      <c r="E598" s="29" t="s">
        <v>1574</v>
      </c>
      <c r="F598" s="29">
        <f t="shared" si="75"/>
        <v>2025</v>
      </c>
      <c r="G598" s="29" t="str">
        <f t="shared" si="76"/>
        <v>May</v>
      </c>
      <c r="H598" s="30">
        <v>199889</v>
      </c>
      <c r="I598" s="30">
        <v>7676</v>
      </c>
      <c r="J598" s="31">
        <v>1181</v>
      </c>
      <c r="K598" s="31">
        <v>628</v>
      </c>
      <c r="L598" s="31">
        <v>295</v>
      </c>
      <c r="M598" s="32">
        <v>160449.25</v>
      </c>
      <c r="N598" s="32">
        <v>1422894.37</v>
      </c>
      <c r="O598" s="33">
        <f t="shared" si="79"/>
        <v>3.84</v>
      </c>
      <c r="P598" s="34">
        <f t="shared" si="77"/>
        <v>135.858806096528</v>
      </c>
      <c r="Q598" s="35">
        <f t="shared" si="78"/>
        <v>8.86818959889186</v>
      </c>
      <c r="R598" s="35">
        <f t="shared" si="72"/>
        <v>20.902716258468</v>
      </c>
      <c r="S598" s="33">
        <f t="shared" si="73"/>
        <v>802.69</v>
      </c>
      <c r="T598" s="36">
        <f t="shared" si="74"/>
        <v>786.82</v>
      </c>
    </row>
    <row r="599" spans="1:20">
      <c r="A599" s="37">
        <v>45802</v>
      </c>
      <c r="B599" s="38" t="s">
        <v>885</v>
      </c>
      <c r="C599" s="38" t="s">
        <v>886</v>
      </c>
      <c r="D599" s="38" t="s">
        <v>887</v>
      </c>
      <c r="E599" s="38" t="s">
        <v>1571</v>
      </c>
      <c r="F599" s="38">
        <f t="shared" si="75"/>
        <v>2025</v>
      </c>
      <c r="G599" s="38" t="str">
        <f t="shared" si="76"/>
        <v>May</v>
      </c>
      <c r="H599" s="30">
        <v>221701</v>
      </c>
      <c r="I599" s="30">
        <v>9472</v>
      </c>
      <c r="J599" s="39">
        <v>2148</v>
      </c>
      <c r="K599" s="39">
        <v>1063</v>
      </c>
      <c r="L599" s="39">
        <v>587</v>
      </c>
      <c r="M599" s="40">
        <v>167627.5</v>
      </c>
      <c r="N599" s="40">
        <v>3363822.07</v>
      </c>
      <c r="O599" s="33">
        <f t="shared" si="79"/>
        <v>4.27</v>
      </c>
      <c r="P599" s="34">
        <f t="shared" si="77"/>
        <v>78.0388733705773</v>
      </c>
      <c r="Q599" s="35">
        <f t="shared" si="78"/>
        <v>20.0672447539932</v>
      </c>
      <c r="R599" s="35">
        <f t="shared" si="72"/>
        <v>17.6971600506757</v>
      </c>
      <c r="S599" s="33">
        <f t="shared" si="73"/>
        <v>756.1</v>
      </c>
      <c r="T599" s="36">
        <f t="shared" si="74"/>
        <v>1906.72</v>
      </c>
    </row>
    <row r="600" spans="1:20">
      <c r="A600" s="28">
        <v>45803</v>
      </c>
      <c r="B600" s="29" t="s">
        <v>1128</v>
      </c>
      <c r="C600" s="29" t="s">
        <v>1129</v>
      </c>
      <c r="D600" s="29" t="s">
        <v>1130</v>
      </c>
      <c r="E600" s="29" t="s">
        <v>1574</v>
      </c>
      <c r="F600" s="29">
        <f t="shared" si="75"/>
        <v>2025</v>
      </c>
      <c r="G600" s="29" t="str">
        <f t="shared" si="76"/>
        <v>May</v>
      </c>
      <c r="H600" s="30">
        <v>95432</v>
      </c>
      <c r="I600" s="30">
        <v>7312</v>
      </c>
      <c r="J600" s="31">
        <v>1525</v>
      </c>
      <c r="K600" s="31">
        <v>799</v>
      </c>
      <c r="L600" s="31">
        <v>461</v>
      </c>
      <c r="M600" s="32">
        <v>75781.68</v>
      </c>
      <c r="N600" s="32">
        <v>2142553.82</v>
      </c>
      <c r="O600" s="33">
        <f t="shared" si="79"/>
        <v>7.66</v>
      </c>
      <c r="P600" s="34">
        <f t="shared" si="77"/>
        <v>49.6929049180328</v>
      </c>
      <c r="Q600" s="35">
        <f t="shared" si="78"/>
        <v>28.2727147247197</v>
      </c>
      <c r="R600" s="35">
        <f t="shared" si="72"/>
        <v>10.3640153172867</v>
      </c>
      <c r="S600" s="33">
        <f t="shared" si="73"/>
        <v>794.09</v>
      </c>
      <c r="T600" s="36">
        <f t="shared" si="74"/>
        <v>2727.27</v>
      </c>
    </row>
    <row r="601" spans="1:20">
      <c r="A601" s="37">
        <v>45803</v>
      </c>
      <c r="B601" s="38" t="s">
        <v>885</v>
      </c>
      <c r="C601" s="38" t="s">
        <v>886</v>
      </c>
      <c r="D601" s="38" t="s">
        <v>887</v>
      </c>
      <c r="E601" s="38" t="s">
        <v>1573</v>
      </c>
      <c r="F601" s="38">
        <f t="shared" si="75"/>
        <v>2025</v>
      </c>
      <c r="G601" s="38" t="str">
        <f t="shared" si="76"/>
        <v>May</v>
      </c>
      <c r="H601" s="30">
        <v>258060</v>
      </c>
      <c r="I601" s="30">
        <v>19102</v>
      </c>
      <c r="J601" s="39">
        <v>4745</v>
      </c>
      <c r="K601" s="39">
        <v>2505</v>
      </c>
      <c r="L601" s="39">
        <v>1316</v>
      </c>
      <c r="M601" s="40">
        <v>149089.16</v>
      </c>
      <c r="N601" s="40">
        <v>8726521.35</v>
      </c>
      <c r="O601" s="33">
        <f t="shared" si="79"/>
        <v>7.4</v>
      </c>
      <c r="P601" s="34">
        <f t="shared" si="77"/>
        <v>31.4202655426765</v>
      </c>
      <c r="Q601" s="35">
        <f t="shared" si="78"/>
        <v>58.5322323232621</v>
      </c>
      <c r="R601" s="35">
        <f t="shared" si="72"/>
        <v>7.80489791644854</v>
      </c>
      <c r="S601" s="33">
        <f t="shared" si="73"/>
        <v>577.73</v>
      </c>
      <c r="T601" s="36">
        <f t="shared" si="74"/>
        <v>5753.22</v>
      </c>
    </row>
    <row r="602" spans="1:20">
      <c r="A602" s="28">
        <v>45804</v>
      </c>
      <c r="B602" s="29" t="s">
        <v>1128</v>
      </c>
      <c r="C602" s="29" t="s">
        <v>1129</v>
      </c>
      <c r="D602" s="29" t="s">
        <v>1130</v>
      </c>
      <c r="E602" s="29" t="s">
        <v>1574</v>
      </c>
      <c r="F602" s="29">
        <f t="shared" si="75"/>
        <v>2025</v>
      </c>
      <c r="G602" s="29" t="str">
        <f t="shared" si="76"/>
        <v>May</v>
      </c>
      <c r="H602" s="30">
        <v>161958</v>
      </c>
      <c r="I602" s="30">
        <v>8826</v>
      </c>
      <c r="J602" s="31">
        <v>1937</v>
      </c>
      <c r="K602" s="31">
        <v>906</v>
      </c>
      <c r="L602" s="31">
        <v>520</v>
      </c>
      <c r="M602" s="32">
        <v>70025.64</v>
      </c>
      <c r="N602" s="32">
        <v>3944515.61</v>
      </c>
      <c r="O602" s="33">
        <f t="shared" si="79"/>
        <v>5.45</v>
      </c>
      <c r="P602" s="34">
        <f t="shared" si="77"/>
        <v>36.1515952503872</v>
      </c>
      <c r="Q602" s="35">
        <f t="shared" si="78"/>
        <v>56.3295902757904</v>
      </c>
      <c r="R602" s="35">
        <f t="shared" si="72"/>
        <v>7.93401767505099</v>
      </c>
      <c r="S602" s="33">
        <f t="shared" si="73"/>
        <v>432.37</v>
      </c>
      <c r="T602" s="36">
        <f t="shared" si="74"/>
        <v>5532.96</v>
      </c>
    </row>
    <row r="603" spans="1:20">
      <c r="A603" s="37">
        <v>45804</v>
      </c>
      <c r="B603" s="38" t="s">
        <v>885</v>
      </c>
      <c r="C603" s="38" t="s">
        <v>886</v>
      </c>
      <c r="D603" s="38" t="s">
        <v>887</v>
      </c>
      <c r="E603" s="38" t="s">
        <v>1572</v>
      </c>
      <c r="F603" s="38">
        <f t="shared" si="75"/>
        <v>2025</v>
      </c>
      <c r="G603" s="38" t="str">
        <f t="shared" si="76"/>
        <v>May</v>
      </c>
      <c r="H603" s="30">
        <v>298878</v>
      </c>
      <c r="I603" s="30">
        <v>16202</v>
      </c>
      <c r="J603" s="39">
        <v>3092</v>
      </c>
      <c r="K603" s="39">
        <v>1903</v>
      </c>
      <c r="L603" s="39">
        <v>1055</v>
      </c>
      <c r="M603" s="40">
        <v>156885.58</v>
      </c>
      <c r="N603" s="40">
        <v>7149953.98</v>
      </c>
      <c r="O603" s="33">
        <f t="shared" si="79"/>
        <v>5.42</v>
      </c>
      <c r="P603" s="34">
        <f t="shared" si="77"/>
        <v>50.739191461837</v>
      </c>
      <c r="Q603" s="35">
        <f t="shared" si="78"/>
        <v>45.5743222544736</v>
      </c>
      <c r="R603" s="35">
        <f t="shared" si="72"/>
        <v>9.68309961733119</v>
      </c>
      <c r="S603" s="33">
        <f t="shared" si="73"/>
        <v>524.92</v>
      </c>
      <c r="T603" s="36">
        <f t="shared" si="74"/>
        <v>4457.43</v>
      </c>
    </row>
    <row r="604" spans="1:20">
      <c r="A604" s="28">
        <v>45805</v>
      </c>
      <c r="B604" s="29" t="s">
        <v>1128</v>
      </c>
      <c r="C604" s="29" t="s">
        <v>1129</v>
      </c>
      <c r="D604" s="29" t="s">
        <v>1130</v>
      </c>
      <c r="E604" s="29" t="s">
        <v>1574</v>
      </c>
      <c r="F604" s="29">
        <f t="shared" si="75"/>
        <v>2025</v>
      </c>
      <c r="G604" s="29" t="str">
        <f t="shared" si="76"/>
        <v>May</v>
      </c>
      <c r="H604" s="30">
        <v>107903</v>
      </c>
      <c r="I604" s="30">
        <v>3524</v>
      </c>
      <c r="J604" s="31">
        <v>729</v>
      </c>
      <c r="K604" s="31">
        <v>457</v>
      </c>
      <c r="L604" s="31">
        <v>206</v>
      </c>
      <c r="M604" s="32">
        <v>103430.57</v>
      </c>
      <c r="N604" s="32">
        <v>1353200.37</v>
      </c>
      <c r="O604" s="33">
        <f t="shared" si="79"/>
        <v>3.27</v>
      </c>
      <c r="P604" s="34">
        <f t="shared" si="77"/>
        <v>141.880068587106</v>
      </c>
      <c r="Q604" s="35">
        <f t="shared" si="78"/>
        <v>13.0831761828249</v>
      </c>
      <c r="R604" s="35">
        <f t="shared" si="72"/>
        <v>29.3503320090806</v>
      </c>
      <c r="S604" s="33">
        <f t="shared" si="73"/>
        <v>958.55</v>
      </c>
      <c r="T604" s="36">
        <f t="shared" si="74"/>
        <v>1208.32</v>
      </c>
    </row>
    <row r="605" spans="1:20">
      <c r="A605" s="37">
        <v>45805</v>
      </c>
      <c r="B605" s="38" t="s">
        <v>885</v>
      </c>
      <c r="C605" s="38" t="s">
        <v>886</v>
      </c>
      <c r="D605" s="38" t="s">
        <v>887</v>
      </c>
      <c r="E605" s="38" t="s">
        <v>1572</v>
      </c>
      <c r="F605" s="38">
        <f t="shared" si="75"/>
        <v>2025</v>
      </c>
      <c r="G605" s="38" t="str">
        <f t="shared" si="76"/>
        <v>May</v>
      </c>
      <c r="H605" s="30">
        <v>173020</v>
      </c>
      <c r="I605" s="30">
        <v>10599</v>
      </c>
      <c r="J605" s="39">
        <v>1880</v>
      </c>
      <c r="K605" s="39">
        <v>1217</v>
      </c>
      <c r="L605" s="39">
        <v>720</v>
      </c>
      <c r="M605" s="40">
        <v>77910.38</v>
      </c>
      <c r="N605" s="40">
        <v>3240631.4</v>
      </c>
      <c r="O605" s="33">
        <f t="shared" si="79"/>
        <v>6.13</v>
      </c>
      <c r="P605" s="34">
        <f t="shared" si="77"/>
        <v>41.4416914893617</v>
      </c>
      <c r="Q605" s="35">
        <f t="shared" si="78"/>
        <v>41.5943472487235</v>
      </c>
      <c r="R605" s="35">
        <f t="shared" si="72"/>
        <v>7.35072931408623</v>
      </c>
      <c r="S605" s="33">
        <f t="shared" si="73"/>
        <v>450.3</v>
      </c>
      <c r="T605" s="36">
        <f t="shared" si="74"/>
        <v>4059.43</v>
      </c>
    </row>
    <row r="606" spans="1:20">
      <c r="A606" s="28">
        <v>45806</v>
      </c>
      <c r="B606" s="29" t="s">
        <v>1128</v>
      </c>
      <c r="C606" s="29" t="s">
        <v>1129</v>
      </c>
      <c r="D606" s="29" t="s">
        <v>1130</v>
      </c>
      <c r="E606" s="29" t="s">
        <v>1574</v>
      </c>
      <c r="F606" s="29">
        <f t="shared" si="75"/>
        <v>2025</v>
      </c>
      <c r="G606" s="29" t="str">
        <f t="shared" si="76"/>
        <v>May</v>
      </c>
      <c r="H606" s="30">
        <v>208326</v>
      </c>
      <c r="I606" s="30">
        <v>16547</v>
      </c>
      <c r="J606" s="31">
        <v>2535</v>
      </c>
      <c r="K606" s="31">
        <v>1311</v>
      </c>
      <c r="L606" s="31">
        <v>579</v>
      </c>
      <c r="M606" s="32">
        <v>128714.62</v>
      </c>
      <c r="N606" s="32">
        <v>2105892.51</v>
      </c>
      <c r="O606" s="33">
        <f t="shared" si="79"/>
        <v>7.94</v>
      </c>
      <c r="P606" s="34">
        <f t="shared" si="77"/>
        <v>50.7749980276134</v>
      </c>
      <c r="Q606" s="35">
        <f t="shared" si="78"/>
        <v>16.3609426031013</v>
      </c>
      <c r="R606" s="35">
        <f t="shared" si="72"/>
        <v>7.7787284704176</v>
      </c>
      <c r="S606" s="33">
        <f t="shared" si="73"/>
        <v>617.85</v>
      </c>
      <c r="T606" s="36">
        <f t="shared" si="74"/>
        <v>1536.09</v>
      </c>
    </row>
    <row r="607" spans="1:20">
      <c r="A607" s="37">
        <v>45806</v>
      </c>
      <c r="B607" s="38" t="s">
        <v>885</v>
      </c>
      <c r="C607" s="38" t="s">
        <v>886</v>
      </c>
      <c r="D607" s="38" t="s">
        <v>887</v>
      </c>
      <c r="E607" s="38" t="s">
        <v>1571</v>
      </c>
      <c r="F607" s="38">
        <f t="shared" si="75"/>
        <v>2025</v>
      </c>
      <c r="G607" s="38" t="str">
        <f t="shared" si="76"/>
        <v>May</v>
      </c>
      <c r="H607" s="30">
        <v>254367</v>
      </c>
      <c r="I607" s="30">
        <v>11373</v>
      </c>
      <c r="J607" s="39">
        <v>2455</v>
      </c>
      <c r="K607" s="39">
        <v>1286</v>
      </c>
      <c r="L607" s="39">
        <v>523</v>
      </c>
      <c r="M607" s="40">
        <v>144783.34</v>
      </c>
      <c r="N607" s="40">
        <v>3534997.28</v>
      </c>
      <c r="O607" s="33">
        <f t="shared" si="79"/>
        <v>4.47</v>
      </c>
      <c r="P607" s="34">
        <f t="shared" si="77"/>
        <v>58.974883910387</v>
      </c>
      <c r="Q607" s="35">
        <f t="shared" si="78"/>
        <v>24.4157738038092</v>
      </c>
      <c r="R607" s="35">
        <f t="shared" si="72"/>
        <v>12.7304440341159</v>
      </c>
      <c r="S607" s="33">
        <f t="shared" si="73"/>
        <v>569.19</v>
      </c>
      <c r="T607" s="36">
        <f t="shared" si="74"/>
        <v>2341.58</v>
      </c>
    </row>
    <row r="608" spans="1:20">
      <c r="A608" s="28">
        <v>45807</v>
      </c>
      <c r="B608" s="29" t="s">
        <v>1128</v>
      </c>
      <c r="C608" s="29" t="s">
        <v>1129</v>
      </c>
      <c r="D608" s="29" t="s">
        <v>1130</v>
      </c>
      <c r="E608" s="29" t="s">
        <v>1574</v>
      </c>
      <c r="F608" s="29">
        <f t="shared" si="75"/>
        <v>2025</v>
      </c>
      <c r="G608" s="29" t="str">
        <f t="shared" si="76"/>
        <v>May</v>
      </c>
      <c r="H608" s="30">
        <v>221642</v>
      </c>
      <c r="I608" s="30">
        <v>16515</v>
      </c>
      <c r="J608" s="31">
        <v>3805</v>
      </c>
      <c r="K608" s="31">
        <v>2059</v>
      </c>
      <c r="L608" s="31">
        <v>1044</v>
      </c>
      <c r="M608" s="32">
        <v>213043.67</v>
      </c>
      <c r="N608" s="32">
        <v>5794495.52</v>
      </c>
      <c r="O608" s="33">
        <f t="shared" si="79"/>
        <v>7.45</v>
      </c>
      <c r="P608" s="34">
        <f t="shared" si="77"/>
        <v>55.9904520367937</v>
      </c>
      <c r="Q608" s="35">
        <f t="shared" si="78"/>
        <v>27.1986279620512</v>
      </c>
      <c r="R608" s="35">
        <f t="shared" si="72"/>
        <v>12.9000102936724</v>
      </c>
      <c r="S608" s="33">
        <f t="shared" si="73"/>
        <v>961.21</v>
      </c>
      <c r="T608" s="36">
        <f t="shared" si="74"/>
        <v>2619.86</v>
      </c>
    </row>
    <row r="609" spans="1:20">
      <c r="A609" s="37">
        <v>45807</v>
      </c>
      <c r="B609" s="38" t="s">
        <v>885</v>
      </c>
      <c r="C609" s="38" t="s">
        <v>886</v>
      </c>
      <c r="D609" s="38" t="s">
        <v>887</v>
      </c>
      <c r="E609" s="38" t="s">
        <v>1572</v>
      </c>
      <c r="F609" s="38">
        <f t="shared" si="75"/>
        <v>2025</v>
      </c>
      <c r="G609" s="38" t="str">
        <f t="shared" si="76"/>
        <v>May</v>
      </c>
      <c r="H609" s="30">
        <v>171248</v>
      </c>
      <c r="I609" s="30">
        <v>12218</v>
      </c>
      <c r="J609" s="39">
        <v>1850</v>
      </c>
      <c r="K609" s="39">
        <v>1118</v>
      </c>
      <c r="L609" s="39">
        <v>623</v>
      </c>
      <c r="M609" s="40">
        <v>161173.5</v>
      </c>
      <c r="N609" s="40">
        <v>4380151.08</v>
      </c>
      <c r="O609" s="33">
        <f t="shared" si="79"/>
        <v>7.13</v>
      </c>
      <c r="P609" s="34">
        <f t="shared" si="77"/>
        <v>87.1208108108108</v>
      </c>
      <c r="Q609" s="35">
        <f t="shared" si="78"/>
        <v>27.1766207223892</v>
      </c>
      <c r="R609" s="35">
        <f t="shared" si="72"/>
        <v>13.1914797839254</v>
      </c>
      <c r="S609" s="33">
        <f t="shared" si="73"/>
        <v>941.17</v>
      </c>
      <c r="T609" s="36">
        <f t="shared" si="74"/>
        <v>2617.66</v>
      </c>
    </row>
    <row r="610" spans="1:20">
      <c r="A610" s="28">
        <v>45808</v>
      </c>
      <c r="B610" s="29" t="s">
        <v>1128</v>
      </c>
      <c r="C610" s="29" t="s">
        <v>1129</v>
      </c>
      <c r="D610" s="29" t="s">
        <v>1130</v>
      </c>
      <c r="E610" s="29" t="s">
        <v>1574</v>
      </c>
      <c r="F610" s="29">
        <f t="shared" si="75"/>
        <v>2025</v>
      </c>
      <c r="G610" s="29" t="str">
        <f t="shared" si="76"/>
        <v>May</v>
      </c>
      <c r="H610" s="30">
        <v>172441</v>
      </c>
      <c r="I610" s="30">
        <v>10888</v>
      </c>
      <c r="J610" s="31">
        <v>1929</v>
      </c>
      <c r="K610" s="31">
        <v>985</v>
      </c>
      <c r="L610" s="31">
        <v>439</v>
      </c>
      <c r="M610" s="32">
        <v>111414.3</v>
      </c>
      <c r="N610" s="32">
        <v>2807015.16</v>
      </c>
      <c r="O610" s="33">
        <f t="shared" si="79"/>
        <v>6.31</v>
      </c>
      <c r="P610" s="34">
        <f t="shared" si="77"/>
        <v>57.7575427682737</v>
      </c>
      <c r="Q610" s="35">
        <f t="shared" si="78"/>
        <v>25.1943885120671</v>
      </c>
      <c r="R610" s="35">
        <f t="shared" si="72"/>
        <v>10.2327608376194</v>
      </c>
      <c r="S610" s="33">
        <f t="shared" si="73"/>
        <v>646.1</v>
      </c>
      <c r="T610" s="36">
        <f t="shared" si="74"/>
        <v>2419.44</v>
      </c>
    </row>
    <row r="611" spans="1:20">
      <c r="A611" s="37">
        <v>45808</v>
      </c>
      <c r="B611" s="38" t="s">
        <v>885</v>
      </c>
      <c r="C611" s="38" t="s">
        <v>886</v>
      </c>
      <c r="D611" s="38" t="s">
        <v>887</v>
      </c>
      <c r="E611" s="38" t="s">
        <v>1572</v>
      </c>
      <c r="F611" s="38">
        <f t="shared" si="75"/>
        <v>2025</v>
      </c>
      <c r="G611" s="38" t="str">
        <f t="shared" si="76"/>
        <v>May</v>
      </c>
      <c r="H611" s="30">
        <v>79898</v>
      </c>
      <c r="I611" s="30">
        <v>3387</v>
      </c>
      <c r="J611" s="39">
        <v>708</v>
      </c>
      <c r="K611" s="39">
        <v>348</v>
      </c>
      <c r="L611" s="39">
        <v>144</v>
      </c>
      <c r="M611" s="40">
        <v>46053.63</v>
      </c>
      <c r="N611" s="40">
        <v>664446.17</v>
      </c>
      <c r="O611" s="33">
        <f t="shared" si="79"/>
        <v>4.24</v>
      </c>
      <c r="P611" s="34">
        <f t="shared" si="77"/>
        <v>65.0475</v>
      </c>
      <c r="Q611" s="35">
        <f t="shared" si="78"/>
        <v>14.4276611854484</v>
      </c>
      <c r="R611" s="35">
        <f t="shared" si="72"/>
        <v>13.5971744906997</v>
      </c>
      <c r="S611" s="33">
        <f t="shared" si="73"/>
        <v>576.41</v>
      </c>
      <c r="T611" s="36">
        <f t="shared" si="74"/>
        <v>1342.77</v>
      </c>
    </row>
    <row r="612" spans="1:20">
      <c r="A612" s="28">
        <v>45663</v>
      </c>
      <c r="B612" s="29" t="s">
        <v>1128</v>
      </c>
      <c r="C612" s="29" t="s">
        <v>1129</v>
      </c>
      <c r="D612" s="29" t="s">
        <v>1130</v>
      </c>
      <c r="E612" s="29" t="s">
        <v>1574</v>
      </c>
      <c r="F612" s="29">
        <f t="shared" si="75"/>
        <v>2025</v>
      </c>
      <c r="G612" s="29" t="str">
        <f t="shared" si="76"/>
        <v>January</v>
      </c>
      <c r="H612" s="30">
        <v>179655</v>
      </c>
      <c r="I612" s="30">
        <v>5969</v>
      </c>
      <c r="J612" s="31">
        <v>1158</v>
      </c>
      <c r="K612" s="31">
        <v>725</v>
      </c>
      <c r="L612" s="31">
        <v>292</v>
      </c>
      <c r="M612" s="32">
        <v>107637.78</v>
      </c>
      <c r="N612" s="32">
        <v>1673092.65</v>
      </c>
      <c r="O612" s="33">
        <f t="shared" si="79"/>
        <v>3.32</v>
      </c>
      <c r="P612" s="34">
        <f t="shared" si="77"/>
        <v>92.9514507772021</v>
      </c>
      <c r="Q612" s="35">
        <f t="shared" si="78"/>
        <v>15.5437305563158</v>
      </c>
      <c r="R612" s="35">
        <f t="shared" si="72"/>
        <v>18.0327994638968</v>
      </c>
      <c r="S612" s="33">
        <f t="shared" si="73"/>
        <v>599.14</v>
      </c>
      <c r="T612" s="36">
        <f t="shared" si="74"/>
        <v>1454.37</v>
      </c>
    </row>
    <row r="613" spans="1:20">
      <c r="A613" s="37">
        <v>45694</v>
      </c>
      <c r="B613" s="38" t="s">
        <v>1128</v>
      </c>
      <c r="C613" s="38" t="s">
        <v>1129</v>
      </c>
      <c r="D613" s="38" t="s">
        <v>1130</v>
      </c>
      <c r="E613" s="38" t="s">
        <v>1574</v>
      </c>
      <c r="F613" s="38">
        <f t="shared" si="75"/>
        <v>2025</v>
      </c>
      <c r="G613" s="38" t="str">
        <f t="shared" si="76"/>
        <v>February</v>
      </c>
      <c r="H613" s="30">
        <v>112007</v>
      </c>
      <c r="I613" s="30">
        <v>7687</v>
      </c>
      <c r="J613" s="39">
        <v>1249</v>
      </c>
      <c r="K613" s="39">
        <v>590</v>
      </c>
      <c r="L613" s="39">
        <v>333</v>
      </c>
      <c r="M613" s="40">
        <v>69690.34</v>
      </c>
      <c r="N613" s="40">
        <v>1849660.24</v>
      </c>
      <c r="O613" s="33">
        <f t="shared" si="79"/>
        <v>6.86</v>
      </c>
      <c r="P613" s="34">
        <f t="shared" si="77"/>
        <v>55.7969095276221</v>
      </c>
      <c r="Q613" s="35">
        <f t="shared" si="78"/>
        <v>26.5411280817399</v>
      </c>
      <c r="R613" s="35">
        <f t="shared" ref="R613:R676" si="80">(M613/I613)</f>
        <v>9.06599973982047</v>
      </c>
      <c r="S613" s="33">
        <f t="shared" si="73"/>
        <v>622.2</v>
      </c>
      <c r="T613" s="36">
        <f t="shared" si="74"/>
        <v>2554.11</v>
      </c>
    </row>
    <row r="614" spans="1:20">
      <c r="A614" s="28">
        <v>45722</v>
      </c>
      <c r="B614" s="29" t="s">
        <v>1128</v>
      </c>
      <c r="C614" s="29" t="s">
        <v>1129</v>
      </c>
      <c r="D614" s="29" t="s">
        <v>1130</v>
      </c>
      <c r="E614" s="29" t="s">
        <v>1574</v>
      </c>
      <c r="F614" s="29">
        <f t="shared" si="75"/>
        <v>2025</v>
      </c>
      <c r="G614" s="29" t="str">
        <f t="shared" si="76"/>
        <v>March</v>
      </c>
      <c r="H614" s="30">
        <v>77080</v>
      </c>
      <c r="I614" s="30">
        <v>2952</v>
      </c>
      <c r="J614" s="31">
        <v>558</v>
      </c>
      <c r="K614" s="31">
        <v>255</v>
      </c>
      <c r="L614" s="31">
        <v>145</v>
      </c>
      <c r="M614" s="32">
        <v>53641.08</v>
      </c>
      <c r="N614" s="32">
        <v>668676.1</v>
      </c>
      <c r="O614" s="33">
        <f t="shared" si="79"/>
        <v>3.83</v>
      </c>
      <c r="P614" s="34">
        <f t="shared" si="77"/>
        <v>96.1309677419355</v>
      </c>
      <c r="Q614" s="35">
        <f t="shared" si="78"/>
        <v>12.4657464018249</v>
      </c>
      <c r="R614" s="35">
        <f t="shared" si="80"/>
        <v>18.1710975609756</v>
      </c>
      <c r="S614" s="33">
        <f t="shared" si="73"/>
        <v>695.91</v>
      </c>
      <c r="T614" s="36">
        <f t="shared" si="74"/>
        <v>1146.57</v>
      </c>
    </row>
    <row r="615" spans="1:20">
      <c r="A615" s="37">
        <v>45753</v>
      </c>
      <c r="B615" s="38" t="s">
        <v>1128</v>
      </c>
      <c r="C615" s="38" t="s">
        <v>1129</v>
      </c>
      <c r="D615" s="38" t="s">
        <v>1130</v>
      </c>
      <c r="E615" s="38" t="s">
        <v>1574</v>
      </c>
      <c r="F615" s="38">
        <f t="shared" si="75"/>
        <v>2025</v>
      </c>
      <c r="G615" s="38" t="str">
        <f t="shared" si="76"/>
        <v>April</v>
      </c>
      <c r="H615" s="30">
        <v>247271</v>
      </c>
      <c r="I615" s="30">
        <v>13740</v>
      </c>
      <c r="J615" s="39">
        <v>2356</v>
      </c>
      <c r="K615" s="39">
        <v>1075</v>
      </c>
      <c r="L615" s="39">
        <v>541</v>
      </c>
      <c r="M615" s="40">
        <v>224942.73</v>
      </c>
      <c r="N615" s="40">
        <v>3479855.38</v>
      </c>
      <c r="O615" s="33">
        <f t="shared" si="79"/>
        <v>5.56</v>
      </c>
      <c r="P615" s="34">
        <f t="shared" si="77"/>
        <v>95.4765407470289</v>
      </c>
      <c r="Q615" s="35">
        <f t="shared" si="78"/>
        <v>15.4699615319864</v>
      </c>
      <c r="R615" s="35">
        <f t="shared" si="80"/>
        <v>16.3713777292576</v>
      </c>
      <c r="S615" s="33">
        <f t="shared" si="73"/>
        <v>909.7</v>
      </c>
      <c r="T615" s="36">
        <f t="shared" si="74"/>
        <v>1447</v>
      </c>
    </row>
    <row r="616" spans="1:20">
      <c r="A616" s="28">
        <v>45783</v>
      </c>
      <c r="B616" s="29" t="s">
        <v>1128</v>
      </c>
      <c r="C616" s="29" t="s">
        <v>1129</v>
      </c>
      <c r="D616" s="29" t="s">
        <v>1130</v>
      </c>
      <c r="E616" s="29" t="s">
        <v>1574</v>
      </c>
      <c r="F616" s="29">
        <f t="shared" si="75"/>
        <v>2025</v>
      </c>
      <c r="G616" s="29" t="str">
        <f t="shared" si="76"/>
        <v>May</v>
      </c>
      <c r="H616" s="30">
        <v>228774</v>
      </c>
      <c r="I616" s="30">
        <v>15253</v>
      </c>
      <c r="J616" s="31">
        <v>3595</v>
      </c>
      <c r="K616" s="31">
        <v>2264</v>
      </c>
      <c r="L616" s="31">
        <v>989</v>
      </c>
      <c r="M616" s="32">
        <v>192239.45</v>
      </c>
      <c r="N616" s="32">
        <v>3767177.71</v>
      </c>
      <c r="O616" s="33">
        <f t="shared" si="79"/>
        <v>6.67</v>
      </c>
      <c r="P616" s="34">
        <f t="shared" si="77"/>
        <v>53.4741168289291</v>
      </c>
      <c r="Q616" s="35">
        <f t="shared" si="78"/>
        <v>19.5962780272207</v>
      </c>
      <c r="R616" s="35">
        <f t="shared" si="80"/>
        <v>12.6033862191044</v>
      </c>
      <c r="S616" s="33">
        <f t="shared" si="73"/>
        <v>840.3</v>
      </c>
      <c r="T616" s="36">
        <f t="shared" si="74"/>
        <v>1859.63</v>
      </c>
    </row>
    <row r="617" spans="1:20">
      <c r="A617" s="37">
        <v>45814</v>
      </c>
      <c r="B617" s="38" t="s">
        <v>1128</v>
      </c>
      <c r="C617" s="38" t="s">
        <v>1129</v>
      </c>
      <c r="D617" s="38" t="s">
        <v>1130</v>
      </c>
      <c r="E617" s="38" t="s">
        <v>1574</v>
      </c>
      <c r="F617" s="38">
        <f t="shared" si="75"/>
        <v>2025</v>
      </c>
      <c r="G617" s="38" t="str">
        <f t="shared" si="76"/>
        <v>June</v>
      </c>
      <c r="H617" s="30">
        <v>140336</v>
      </c>
      <c r="I617" s="30">
        <v>10973</v>
      </c>
      <c r="J617" s="39">
        <v>2525</v>
      </c>
      <c r="K617" s="39">
        <v>1411</v>
      </c>
      <c r="L617" s="39">
        <v>738</v>
      </c>
      <c r="M617" s="40">
        <v>101941.71</v>
      </c>
      <c r="N617" s="40">
        <v>3405726.7</v>
      </c>
      <c r="O617" s="33">
        <f t="shared" si="79"/>
        <v>7.82</v>
      </c>
      <c r="P617" s="34">
        <f t="shared" si="77"/>
        <v>40.3729544554455</v>
      </c>
      <c r="Q617" s="35">
        <f t="shared" si="78"/>
        <v>33.4085694658251</v>
      </c>
      <c r="R617" s="35">
        <f t="shared" si="80"/>
        <v>9.29023147726237</v>
      </c>
      <c r="S617" s="33">
        <f t="shared" ref="S617:S680" si="81">ROUND(M617/H617*1000,2)</f>
        <v>726.41</v>
      </c>
      <c r="T617" s="36">
        <f t="shared" si="74"/>
        <v>3240.86</v>
      </c>
    </row>
    <row r="618" spans="1:20">
      <c r="A618" s="28">
        <v>45844</v>
      </c>
      <c r="B618" s="29" t="s">
        <v>1128</v>
      </c>
      <c r="C618" s="29" t="s">
        <v>1129</v>
      </c>
      <c r="D618" s="29" t="s">
        <v>1130</v>
      </c>
      <c r="E618" s="29" t="s">
        <v>1574</v>
      </c>
      <c r="F618" s="29">
        <f t="shared" si="75"/>
        <v>2025</v>
      </c>
      <c r="G618" s="29" t="str">
        <f t="shared" si="76"/>
        <v>July</v>
      </c>
      <c r="H618" s="30">
        <v>255443</v>
      </c>
      <c r="I618" s="30">
        <v>9636</v>
      </c>
      <c r="J618" s="31">
        <v>2306</v>
      </c>
      <c r="K618" s="31">
        <v>1082</v>
      </c>
      <c r="L618" s="31">
        <v>528</v>
      </c>
      <c r="M618" s="32">
        <v>108919.31</v>
      </c>
      <c r="N618" s="32">
        <v>1641515.54</v>
      </c>
      <c r="O618" s="33">
        <f t="shared" si="79"/>
        <v>3.77</v>
      </c>
      <c r="P618" s="34">
        <f t="shared" si="77"/>
        <v>47.2330052038161</v>
      </c>
      <c r="Q618" s="35">
        <f t="shared" si="78"/>
        <v>15.0709322341465</v>
      </c>
      <c r="R618" s="35">
        <f t="shared" si="80"/>
        <v>11.3033738065587</v>
      </c>
      <c r="S618" s="33">
        <f t="shared" si="81"/>
        <v>426.39</v>
      </c>
      <c r="T618" s="36">
        <f t="shared" si="74"/>
        <v>1407.09</v>
      </c>
    </row>
    <row r="619" spans="1:20">
      <c r="A619" s="37">
        <v>45875</v>
      </c>
      <c r="B619" s="38" t="s">
        <v>1128</v>
      </c>
      <c r="C619" s="38" t="s">
        <v>1129</v>
      </c>
      <c r="D619" s="38" t="s">
        <v>1130</v>
      </c>
      <c r="E619" s="38" t="s">
        <v>1574</v>
      </c>
      <c r="F619" s="38">
        <f t="shared" si="75"/>
        <v>2025</v>
      </c>
      <c r="G619" s="38" t="str">
        <f t="shared" si="76"/>
        <v>August</v>
      </c>
      <c r="H619" s="30">
        <v>153084</v>
      </c>
      <c r="I619" s="30">
        <v>4907</v>
      </c>
      <c r="J619" s="39">
        <v>999</v>
      </c>
      <c r="K619" s="39">
        <v>538</v>
      </c>
      <c r="L619" s="39">
        <v>307</v>
      </c>
      <c r="M619" s="40">
        <v>97654.25</v>
      </c>
      <c r="N619" s="40">
        <v>1586488.03</v>
      </c>
      <c r="O619" s="33">
        <f t="shared" si="79"/>
        <v>3.21</v>
      </c>
      <c r="P619" s="34">
        <f t="shared" si="77"/>
        <v>97.752002002002</v>
      </c>
      <c r="Q619" s="35">
        <f t="shared" si="78"/>
        <v>16.2459701446686</v>
      </c>
      <c r="R619" s="35">
        <f t="shared" si="80"/>
        <v>19.9010087629916</v>
      </c>
      <c r="S619" s="33">
        <f t="shared" si="81"/>
        <v>637.91</v>
      </c>
      <c r="T619" s="36">
        <f t="shared" si="74"/>
        <v>1524.6</v>
      </c>
    </row>
    <row r="620" spans="1:20">
      <c r="A620" s="28">
        <v>45906</v>
      </c>
      <c r="B620" s="29" t="s">
        <v>1128</v>
      </c>
      <c r="C620" s="29" t="s">
        <v>1129</v>
      </c>
      <c r="D620" s="29" t="s">
        <v>1130</v>
      </c>
      <c r="E620" s="29" t="s">
        <v>1574</v>
      </c>
      <c r="F620" s="29">
        <f t="shared" si="75"/>
        <v>2025</v>
      </c>
      <c r="G620" s="29" t="str">
        <f t="shared" si="76"/>
        <v>September</v>
      </c>
      <c r="H620" s="30">
        <v>114699</v>
      </c>
      <c r="I620" s="30">
        <v>4802</v>
      </c>
      <c r="J620" s="31">
        <v>801</v>
      </c>
      <c r="K620" s="31">
        <v>375</v>
      </c>
      <c r="L620" s="31">
        <v>175</v>
      </c>
      <c r="M620" s="32">
        <v>79599.73</v>
      </c>
      <c r="N620" s="32">
        <v>1126490.56</v>
      </c>
      <c r="O620" s="33">
        <f t="shared" si="79"/>
        <v>4.19</v>
      </c>
      <c r="P620" s="34">
        <f t="shared" si="77"/>
        <v>99.375443196005</v>
      </c>
      <c r="Q620" s="35">
        <f t="shared" si="78"/>
        <v>14.1519394600962</v>
      </c>
      <c r="R620" s="35">
        <f t="shared" si="80"/>
        <v>16.5763702623907</v>
      </c>
      <c r="S620" s="33">
        <f t="shared" si="81"/>
        <v>693.99</v>
      </c>
      <c r="T620" s="36">
        <f t="shared" si="74"/>
        <v>1315.19</v>
      </c>
    </row>
    <row r="621" spans="1:20">
      <c r="A621" s="37">
        <v>45936</v>
      </c>
      <c r="B621" s="38" t="s">
        <v>1128</v>
      </c>
      <c r="C621" s="38" t="s">
        <v>1129</v>
      </c>
      <c r="D621" s="38" t="s">
        <v>1130</v>
      </c>
      <c r="E621" s="38" t="s">
        <v>1574</v>
      </c>
      <c r="F621" s="38">
        <f t="shared" si="75"/>
        <v>2025</v>
      </c>
      <c r="G621" s="38" t="str">
        <f t="shared" si="76"/>
        <v>October</v>
      </c>
      <c r="H621" s="30">
        <v>228607</v>
      </c>
      <c r="I621" s="30">
        <v>11316</v>
      </c>
      <c r="J621" s="39">
        <v>2761</v>
      </c>
      <c r="K621" s="39">
        <v>1577</v>
      </c>
      <c r="L621" s="39">
        <v>831</v>
      </c>
      <c r="M621" s="40">
        <v>199079.5</v>
      </c>
      <c r="N621" s="40">
        <v>5513047.86</v>
      </c>
      <c r="O621" s="33">
        <f t="shared" si="79"/>
        <v>4.95</v>
      </c>
      <c r="P621" s="34">
        <f t="shared" si="77"/>
        <v>72.1041289387903</v>
      </c>
      <c r="Q621" s="35">
        <f t="shared" si="78"/>
        <v>27.692694928408</v>
      </c>
      <c r="R621" s="35">
        <f t="shared" si="80"/>
        <v>17.5927447861435</v>
      </c>
      <c r="S621" s="33">
        <f t="shared" si="81"/>
        <v>870.84</v>
      </c>
      <c r="T621" s="36">
        <f t="shared" si="74"/>
        <v>2669.27</v>
      </c>
    </row>
    <row r="622" spans="1:20">
      <c r="A622" s="28">
        <v>45967</v>
      </c>
      <c r="B622" s="29" t="s">
        <v>1128</v>
      </c>
      <c r="C622" s="29" t="s">
        <v>1129</v>
      </c>
      <c r="D622" s="29" t="s">
        <v>1130</v>
      </c>
      <c r="E622" s="29" t="s">
        <v>1574</v>
      </c>
      <c r="F622" s="29">
        <f t="shared" si="75"/>
        <v>2025</v>
      </c>
      <c r="G622" s="29" t="str">
        <f t="shared" si="76"/>
        <v>November</v>
      </c>
      <c r="H622" s="30">
        <v>115246</v>
      </c>
      <c r="I622" s="30">
        <v>7658</v>
      </c>
      <c r="J622" s="31">
        <v>1593</v>
      </c>
      <c r="K622" s="31">
        <v>756</v>
      </c>
      <c r="L622" s="31">
        <v>338</v>
      </c>
      <c r="M622" s="32">
        <v>111946.04</v>
      </c>
      <c r="N622" s="32">
        <v>2482396.52</v>
      </c>
      <c r="O622" s="33">
        <f t="shared" si="79"/>
        <v>6.64</v>
      </c>
      <c r="P622" s="34">
        <f t="shared" si="77"/>
        <v>70.2737225360954</v>
      </c>
      <c r="Q622" s="35">
        <f t="shared" si="78"/>
        <v>22.1749382113025</v>
      </c>
      <c r="R622" s="35">
        <f t="shared" si="80"/>
        <v>14.6181822930269</v>
      </c>
      <c r="S622" s="33">
        <f t="shared" si="81"/>
        <v>971.37</v>
      </c>
      <c r="T622" s="36">
        <f t="shared" ref="T622:T685" si="82">ROUND((N622-M622)/M622*100,2)</f>
        <v>2117.49</v>
      </c>
    </row>
    <row r="623" spans="1:20">
      <c r="A623" s="37">
        <v>45997</v>
      </c>
      <c r="B623" s="38" t="s">
        <v>1128</v>
      </c>
      <c r="C623" s="38" t="s">
        <v>1129</v>
      </c>
      <c r="D623" s="38" t="s">
        <v>1130</v>
      </c>
      <c r="E623" s="38" t="s">
        <v>1574</v>
      </c>
      <c r="F623" s="38">
        <f t="shared" si="75"/>
        <v>2025</v>
      </c>
      <c r="G623" s="38" t="str">
        <f t="shared" si="76"/>
        <v>December</v>
      </c>
      <c r="H623" s="30">
        <v>265508</v>
      </c>
      <c r="I623" s="30">
        <v>9396</v>
      </c>
      <c r="J623" s="39">
        <v>1593</v>
      </c>
      <c r="K623" s="39">
        <v>898</v>
      </c>
      <c r="L623" s="39">
        <v>489</v>
      </c>
      <c r="M623" s="40">
        <v>184408.86</v>
      </c>
      <c r="N623" s="40">
        <v>2219084.95</v>
      </c>
      <c r="O623" s="33">
        <f t="shared" si="79"/>
        <v>3.54</v>
      </c>
      <c r="P623" s="34">
        <f t="shared" si="77"/>
        <v>115.761996233522</v>
      </c>
      <c r="Q623" s="35">
        <f t="shared" si="78"/>
        <v>12.0335050604402</v>
      </c>
      <c r="R623" s="35">
        <f t="shared" si="80"/>
        <v>19.6263154533844</v>
      </c>
      <c r="S623" s="33">
        <f t="shared" si="81"/>
        <v>694.55</v>
      </c>
      <c r="T623" s="36">
        <f t="shared" si="82"/>
        <v>1103.35</v>
      </c>
    </row>
    <row r="624" spans="1:20">
      <c r="A624" s="28">
        <v>45821</v>
      </c>
      <c r="B624" s="29" t="s">
        <v>1128</v>
      </c>
      <c r="C624" s="29" t="s">
        <v>1129</v>
      </c>
      <c r="D624" s="29" t="s">
        <v>1130</v>
      </c>
      <c r="E624" s="29" t="s">
        <v>1574</v>
      </c>
      <c r="F624" s="29">
        <f t="shared" si="75"/>
        <v>2025</v>
      </c>
      <c r="G624" s="29" t="str">
        <f t="shared" si="76"/>
        <v>June</v>
      </c>
      <c r="H624" s="30">
        <v>52092</v>
      </c>
      <c r="I624" s="30">
        <v>2486</v>
      </c>
      <c r="J624" s="31">
        <v>570</v>
      </c>
      <c r="K624" s="31">
        <v>350</v>
      </c>
      <c r="L624" s="31">
        <v>191</v>
      </c>
      <c r="M624" s="32">
        <v>35363.69</v>
      </c>
      <c r="N624" s="32">
        <v>1423038.59</v>
      </c>
      <c r="O624" s="33">
        <f t="shared" si="79"/>
        <v>4.77</v>
      </c>
      <c r="P624" s="34">
        <f t="shared" si="77"/>
        <v>62.0415614035088</v>
      </c>
      <c r="Q624" s="35">
        <f t="shared" si="78"/>
        <v>40.2401047515121</v>
      </c>
      <c r="R624" s="35">
        <f t="shared" si="80"/>
        <v>14.225136765889</v>
      </c>
      <c r="S624" s="33">
        <f t="shared" si="81"/>
        <v>678.87</v>
      </c>
      <c r="T624" s="36">
        <f t="shared" si="82"/>
        <v>3924.01</v>
      </c>
    </row>
    <row r="625" spans="1:20">
      <c r="A625" s="37">
        <v>45822</v>
      </c>
      <c r="B625" s="38" t="s">
        <v>1128</v>
      </c>
      <c r="C625" s="38" t="s">
        <v>1129</v>
      </c>
      <c r="D625" s="38" t="s">
        <v>1130</v>
      </c>
      <c r="E625" s="38" t="s">
        <v>1574</v>
      </c>
      <c r="F625" s="38">
        <f t="shared" si="75"/>
        <v>2025</v>
      </c>
      <c r="G625" s="38" t="str">
        <f t="shared" si="76"/>
        <v>June</v>
      </c>
      <c r="H625" s="30">
        <v>287149</v>
      </c>
      <c r="I625" s="30">
        <v>12655</v>
      </c>
      <c r="J625" s="39">
        <v>2180</v>
      </c>
      <c r="K625" s="39">
        <v>1116</v>
      </c>
      <c r="L625" s="39">
        <v>601</v>
      </c>
      <c r="M625" s="40">
        <v>241881.98</v>
      </c>
      <c r="N625" s="40">
        <v>4227409.95</v>
      </c>
      <c r="O625" s="33">
        <f t="shared" si="79"/>
        <v>4.41</v>
      </c>
      <c r="P625" s="34">
        <f t="shared" si="77"/>
        <v>110.955036697248</v>
      </c>
      <c r="Q625" s="35">
        <f t="shared" si="78"/>
        <v>17.4771595221769</v>
      </c>
      <c r="R625" s="35">
        <f t="shared" si="80"/>
        <v>19.1135503753457</v>
      </c>
      <c r="S625" s="33">
        <f t="shared" si="81"/>
        <v>842.36</v>
      </c>
      <c r="T625" s="36">
        <f t="shared" si="82"/>
        <v>1647.72</v>
      </c>
    </row>
    <row r="626" spans="1:20">
      <c r="A626" s="28">
        <v>45823</v>
      </c>
      <c r="B626" s="29" t="s">
        <v>1128</v>
      </c>
      <c r="C626" s="29" t="s">
        <v>1129</v>
      </c>
      <c r="D626" s="29" t="s">
        <v>1130</v>
      </c>
      <c r="E626" s="29" t="s">
        <v>1574</v>
      </c>
      <c r="F626" s="29">
        <f t="shared" si="75"/>
        <v>2025</v>
      </c>
      <c r="G626" s="29" t="str">
        <f t="shared" si="76"/>
        <v>June</v>
      </c>
      <c r="H626" s="30">
        <v>149833</v>
      </c>
      <c r="I626" s="30">
        <v>7012</v>
      </c>
      <c r="J626" s="31">
        <v>1494</v>
      </c>
      <c r="K626" s="31">
        <v>738</v>
      </c>
      <c r="L626" s="31">
        <v>297</v>
      </c>
      <c r="M626" s="32">
        <v>131425.41</v>
      </c>
      <c r="N626" s="32">
        <v>1614620.18</v>
      </c>
      <c r="O626" s="33">
        <f t="shared" si="79"/>
        <v>4.68</v>
      </c>
      <c r="P626" s="34">
        <f t="shared" si="77"/>
        <v>87.9688152610442</v>
      </c>
      <c r="Q626" s="35">
        <f t="shared" si="78"/>
        <v>12.2854490619432</v>
      </c>
      <c r="R626" s="35">
        <f t="shared" si="80"/>
        <v>18.742927837992</v>
      </c>
      <c r="S626" s="33">
        <f t="shared" si="81"/>
        <v>877.15</v>
      </c>
      <c r="T626" s="36">
        <f t="shared" si="82"/>
        <v>1128.54</v>
      </c>
    </row>
    <row r="627" spans="1:20">
      <c r="A627" s="37">
        <v>45824</v>
      </c>
      <c r="B627" s="38" t="s">
        <v>1128</v>
      </c>
      <c r="C627" s="38" t="s">
        <v>1129</v>
      </c>
      <c r="D627" s="38" t="s">
        <v>1130</v>
      </c>
      <c r="E627" s="38" t="s">
        <v>1574</v>
      </c>
      <c r="F627" s="38">
        <f t="shared" si="75"/>
        <v>2025</v>
      </c>
      <c r="G627" s="38" t="str">
        <f t="shared" si="76"/>
        <v>June</v>
      </c>
      <c r="H627" s="30">
        <v>255927</v>
      </c>
      <c r="I627" s="30">
        <v>12698</v>
      </c>
      <c r="J627" s="39">
        <v>2565</v>
      </c>
      <c r="K627" s="39">
        <v>1291</v>
      </c>
      <c r="L627" s="39">
        <v>774</v>
      </c>
      <c r="M627" s="40">
        <v>163441.21</v>
      </c>
      <c r="N627" s="40">
        <v>4081467</v>
      </c>
      <c r="O627" s="33">
        <f t="shared" si="79"/>
        <v>4.96</v>
      </c>
      <c r="P627" s="34">
        <f t="shared" si="77"/>
        <v>63.7197699805068</v>
      </c>
      <c r="Q627" s="35">
        <f t="shared" si="78"/>
        <v>24.9720801748837</v>
      </c>
      <c r="R627" s="35">
        <f t="shared" si="80"/>
        <v>12.8714136084423</v>
      </c>
      <c r="S627" s="33">
        <f t="shared" si="81"/>
        <v>638.62</v>
      </c>
      <c r="T627" s="36">
        <f t="shared" si="82"/>
        <v>2397.21</v>
      </c>
    </row>
    <row r="628" spans="1:20">
      <c r="A628" s="28">
        <v>45825</v>
      </c>
      <c r="B628" s="29" t="s">
        <v>1128</v>
      </c>
      <c r="C628" s="29" t="s">
        <v>1129</v>
      </c>
      <c r="D628" s="29" t="s">
        <v>1130</v>
      </c>
      <c r="E628" s="29" t="s">
        <v>1574</v>
      </c>
      <c r="F628" s="29">
        <f t="shared" si="75"/>
        <v>2025</v>
      </c>
      <c r="G628" s="29" t="str">
        <f t="shared" si="76"/>
        <v>June</v>
      </c>
      <c r="H628" s="30">
        <v>234335</v>
      </c>
      <c r="I628" s="30">
        <v>11764</v>
      </c>
      <c r="J628" s="31">
        <v>1932</v>
      </c>
      <c r="K628" s="31">
        <v>992</v>
      </c>
      <c r="L628" s="31">
        <v>435</v>
      </c>
      <c r="M628" s="32">
        <v>164277.08</v>
      </c>
      <c r="N628" s="32">
        <v>1544374.71</v>
      </c>
      <c r="O628" s="33">
        <f t="shared" si="79"/>
        <v>5.02</v>
      </c>
      <c r="P628" s="34">
        <f t="shared" si="77"/>
        <v>85.0295445134576</v>
      </c>
      <c r="Q628" s="35">
        <f t="shared" si="78"/>
        <v>9.40103579878581</v>
      </c>
      <c r="R628" s="35">
        <f t="shared" si="80"/>
        <v>13.9643896633798</v>
      </c>
      <c r="S628" s="33">
        <f t="shared" si="81"/>
        <v>701.04</v>
      </c>
      <c r="T628" s="36">
        <f t="shared" si="82"/>
        <v>840.1</v>
      </c>
    </row>
    <row r="629" spans="1:20">
      <c r="A629" s="37">
        <v>45826</v>
      </c>
      <c r="B629" s="38" t="s">
        <v>1128</v>
      </c>
      <c r="C629" s="38" t="s">
        <v>1129</v>
      </c>
      <c r="D629" s="38" t="s">
        <v>1130</v>
      </c>
      <c r="E629" s="38" t="s">
        <v>1574</v>
      </c>
      <c r="F629" s="38">
        <f t="shared" si="75"/>
        <v>2025</v>
      </c>
      <c r="G629" s="38" t="str">
        <f t="shared" si="76"/>
        <v>June</v>
      </c>
      <c r="H629" s="30">
        <v>146202</v>
      </c>
      <c r="I629" s="30">
        <v>11655</v>
      </c>
      <c r="J629" s="39">
        <v>2425</v>
      </c>
      <c r="K629" s="39">
        <v>1140</v>
      </c>
      <c r="L629" s="39">
        <v>460</v>
      </c>
      <c r="M629" s="40">
        <v>79710.71</v>
      </c>
      <c r="N629" s="40">
        <v>2166582.31</v>
      </c>
      <c r="O629" s="33">
        <f t="shared" si="79"/>
        <v>7.97</v>
      </c>
      <c r="P629" s="34">
        <f t="shared" si="77"/>
        <v>32.8703958762887</v>
      </c>
      <c r="Q629" s="35">
        <f t="shared" si="78"/>
        <v>27.180567203579</v>
      </c>
      <c r="R629" s="35">
        <f t="shared" si="80"/>
        <v>6.83918575718576</v>
      </c>
      <c r="S629" s="33">
        <f t="shared" si="81"/>
        <v>545.21</v>
      </c>
      <c r="T629" s="36">
        <f t="shared" si="82"/>
        <v>2618.06</v>
      </c>
    </row>
    <row r="630" spans="1:20">
      <c r="A630" s="28">
        <v>45827</v>
      </c>
      <c r="B630" s="29" t="s">
        <v>1128</v>
      </c>
      <c r="C630" s="29" t="s">
        <v>1129</v>
      </c>
      <c r="D630" s="29" t="s">
        <v>1130</v>
      </c>
      <c r="E630" s="29" t="s">
        <v>1574</v>
      </c>
      <c r="F630" s="29">
        <f t="shared" si="75"/>
        <v>2025</v>
      </c>
      <c r="G630" s="29" t="str">
        <f t="shared" si="76"/>
        <v>June</v>
      </c>
      <c r="H630" s="30">
        <v>169807</v>
      </c>
      <c r="I630" s="30">
        <v>5900</v>
      </c>
      <c r="J630" s="31">
        <v>1002</v>
      </c>
      <c r="K630" s="31">
        <v>543</v>
      </c>
      <c r="L630" s="31">
        <v>271</v>
      </c>
      <c r="M630" s="32">
        <v>167493.6</v>
      </c>
      <c r="N630" s="32">
        <v>1293759.11</v>
      </c>
      <c r="O630" s="33">
        <f t="shared" si="79"/>
        <v>3.47</v>
      </c>
      <c r="P630" s="34">
        <f t="shared" si="77"/>
        <v>167.159281437126</v>
      </c>
      <c r="Q630" s="35">
        <f t="shared" si="78"/>
        <v>7.72423011983742</v>
      </c>
      <c r="R630" s="35">
        <f t="shared" si="80"/>
        <v>28.3887457627119</v>
      </c>
      <c r="S630" s="33">
        <f t="shared" si="81"/>
        <v>986.38</v>
      </c>
      <c r="T630" s="36">
        <f t="shared" si="82"/>
        <v>672.42</v>
      </c>
    </row>
    <row r="631" spans="1:20">
      <c r="A631" s="37">
        <v>45828</v>
      </c>
      <c r="B631" s="38" t="s">
        <v>1128</v>
      </c>
      <c r="C631" s="38" t="s">
        <v>1129</v>
      </c>
      <c r="D631" s="38" t="s">
        <v>1130</v>
      </c>
      <c r="E631" s="38" t="s">
        <v>1574</v>
      </c>
      <c r="F631" s="38">
        <f t="shared" si="75"/>
        <v>2025</v>
      </c>
      <c r="G631" s="38" t="str">
        <f t="shared" si="76"/>
        <v>June</v>
      </c>
      <c r="H631" s="30">
        <v>51060</v>
      </c>
      <c r="I631" s="30">
        <v>2259</v>
      </c>
      <c r="J631" s="39">
        <v>559</v>
      </c>
      <c r="K631" s="39">
        <v>276</v>
      </c>
      <c r="L631" s="39">
        <v>121</v>
      </c>
      <c r="M631" s="40">
        <v>41121.18</v>
      </c>
      <c r="N631" s="40">
        <v>556625.17</v>
      </c>
      <c r="O631" s="33">
        <f t="shared" si="79"/>
        <v>4.42</v>
      </c>
      <c r="P631" s="34">
        <f t="shared" si="77"/>
        <v>73.5620393559929</v>
      </c>
      <c r="Q631" s="35">
        <f t="shared" si="78"/>
        <v>13.5362158868009</v>
      </c>
      <c r="R631" s="35">
        <f t="shared" si="80"/>
        <v>18.2032669322709</v>
      </c>
      <c r="S631" s="33">
        <f t="shared" si="81"/>
        <v>805.35</v>
      </c>
      <c r="T631" s="36">
        <f t="shared" si="82"/>
        <v>1253.62</v>
      </c>
    </row>
    <row r="632" spans="1:20">
      <c r="A632" s="28">
        <v>45829</v>
      </c>
      <c r="B632" s="29" t="s">
        <v>1128</v>
      </c>
      <c r="C632" s="29" t="s">
        <v>1129</v>
      </c>
      <c r="D632" s="29" t="s">
        <v>1130</v>
      </c>
      <c r="E632" s="29" t="s">
        <v>1574</v>
      </c>
      <c r="F632" s="29">
        <f t="shared" si="75"/>
        <v>2025</v>
      </c>
      <c r="G632" s="29" t="str">
        <f t="shared" si="76"/>
        <v>June</v>
      </c>
      <c r="H632" s="30">
        <v>299910</v>
      </c>
      <c r="I632" s="30">
        <v>23654</v>
      </c>
      <c r="J632" s="31">
        <v>5219</v>
      </c>
      <c r="K632" s="31">
        <v>2461</v>
      </c>
      <c r="L632" s="31">
        <v>1471</v>
      </c>
      <c r="M632" s="32">
        <v>147276.92</v>
      </c>
      <c r="N632" s="32">
        <v>7040894.91</v>
      </c>
      <c r="O632" s="33">
        <f t="shared" si="79"/>
        <v>7.89</v>
      </c>
      <c r="P632" s="34">
        <f t="shared" si="77"/>
        <v>28.2193753592642</v>
      </c>
      <c r="Q632" s="35">
        <f t="shared" si="78"/>
        <v>47.8071846559529</v>
      </c>
      <c r="R632" s="35">
        <f t="shared" si="80"/>
        <v>6.22630083706773</v>
      </c>
      <c r="S632" s="33">
        <f t="shared" si="81"/>
        <v>491.07</v>
      </c>
      <c r="T632" s="36">
        <f t="shared" si="82"/>
        <v>4680.72</v>
      </c>
    </row>
    <row r="633" spans="1:20">
      <c r="A633" s="37">
        <v>45830</v>
      </c>
      <c r="B633" s="38" t="s">
        <v>1128</v>
      </c>
      <c r="C633" s="38" t="s">
        <v>1129</v>
      </c>
      <c r="D633" s="38" t="s">
        <v>1130</v>
      </c>
      <c r="E633" s="38" t="s">
        <v>1574</v>
      </c>
      <c r="F633" s="38">
        <f t="shared" si="75"/>
        <v>2025</v>
      </c>
      <c r="G633" s="38" t="str">
        <f t="shared" si="76"/>
        <v>June</v>
      </c>
      <c r="H633" s="30">
        <v>118757</v>
      </c>
      <c r="I633" s="30">
        <v>6909</v>
      </c>
      <c r="J633" s="39">
        <v>1251</v>
      </c>
      <c r="K633" s="39">
        <v>711</v>
      </c>
      <c r="L633" s="39">
        <v>363</v>
      </c>
      <c r="M633" s="40">
        <v>97100.84</v>
      </c>
      <c r="N633" s="40">
        <v>2733839.18</v>
      </c>
      <c r="O633" s="33">
        <f t="shared" si="79"/>
        <v>5.82</v>
      </c>
      <c r="P633" s="34">
        <f t="shared" si="77"/>
        <v>77.6185771382894</v>
      </c>
      <c r="Q633" s="35">
        <f t="shared" si="78"/>
        <v>28.1546398568746</v>
      </c>
      <c r="R633" s="35">
        <f t="shared" si="80"/>
        <v>14.0542538717615</v>
      </c>
      <c r="S633" s="33">
        <f t="shared" si="81"/>
        <v>817.64</v>
      </c>
      <c r="T633" s="36">
        <f t="shared" si="82"/>
        <v>2715.46</v>
      </c>
    </row>
    <row r="634" spans="1:20">
      <c r="A634" s="28">
        <v>45831</v>
      </c>
      <c r="B634" s="29" t="s">
        <v>1128</v>
      </c>
      <c r="C634" s="29" t="s">
        <v>1129</v>
      </c>
      <c r="D634" s="29" t="s">
        <v>1130</v>
      </c>
      <c r="E634" s="29" t="s">
        <v>1574</v>
      </c>
      <c r="F634" s="29">
        <f t="shared" si="75"/>
        <v>2025</v>
      </c>
      <c r="G634" s="29" t="str">
        <f t="shared" si="76"/>
        <v>June</v>
      </c>
      <c r="H634" s="30">
        <v>215965</v>
      </c>
      <c r="I634" s="30">
        <v>16744</v>
      </c>
      <c r="J634" s="31">
        <v>3264</v>
      </c>
      <c r="K634" s="31">
        <v>1645</v>
      </c>
      <c r="L634" s="31">
        <v>772</v>
      </c>
      <c r="M634" s="32">
        <v>138966.8</v>
      </c>
      <c r="N634" s="32">
        <v>3706914.65</v>
      </c>
      <c r="O634" s="33">
        <f t="shared" si="79"/>
        <v>7.75</v>
      </c>
      <c r="P634" s="34">
        <f t="shared" si="77"/>
        <v>42.575612745098</v>
      </c>
      <c r="Q634" s="35">
        <f t="shared" si="78"/>
        <v>26.6748219718667</v>
      </c>
      <c r="R634" s="35">
        <f t="shared" si="80"/>
        <v>8.2994983277592</v>
      </c>
      <c r="S634" s="33">
        <f t="shared" si="81"/>
        <v>643.47</v>
      </c>
      <c r="T634" s="36">
        <f t="shared" si="82"/>
        <v>2567.48</v>
      </c>
    </row>
    <row r="635" spans="1:20">
      <c r="A635" s="37">
        <v>45832</v>
      </c>
      <c r="B635" s="38" t="s">
        <v>1128</v>
      </c>
      <c r="C635" s="38" t="s">
        <v>1129</v>
      </c>
      <c r="D635" s="38" t="s">
        <v>1130</v>
      </c>
      <c r="E635" s="38" t="s">
        <v>1574</v>
      </c>
      <c r="F635" s="38">
        <f t="shared" si="75"/>
        <v>2025</v>
      </c>
      <c r="G635" s="38" t="str">
        <f t="shared" si="76"/>
        <v>June</v>
      </c>
      <c r="H635" s="30">
        <v>251296</v>
      </c>
      <c r="I635" s="30">
        <v>15390</v>
      </c>
      <c r="J635" s="39">
        <v>3332</v>
      </c>
      <c r="K635" s="39">
        <v>1741</v>
      </c>
      <c r="L635" s="39">
        <v>721</v>
      </c>
      <c r="M635" s="40">
        <v>235593.68</v>
      </c>
      <c r="N635" s="40">
        <v>5070650.21</v>
      </c>
      <c r="O635" s="33">
        <f t="shared" si="79"/>
        <v>6.12</v>
      </c>
      <c r="P635" s="34">
        <f t="shared" si="77"/>
        <v>70.7063865546218</v>
      </c>
      <c r="Q635" s="35">
        <f t="shared" si="78"/>
        <v>21.5228617762582</v>
      </c>
      <c r="R635" s="35">
        <f t="shared" si="80"/>
        <v>15.3082313190383</v>
      </c>
      <c r="S635" s="33">
        <f t="shared" si="81"/>
        <v>937.51</v>
      </c>
      <c r="T635" s="36">
        <f t="shared" si="82"/>
        <v>2052.29</v>
      </c>
    </row>
    <row r="636" spans="1:20">
      <c r="A636" s="28">
        <v>45833</v>
      </c>
      <c r="B636" s="29" t="s">
        <v>1128</v>
      </c>
      <c r="C636" s="29" t="s">
        <v>1129</v>
      </c>
      <c r="D636" s="29" t="s">
        <v>1130</v>
      </c>
      <c r="E636" s="29" t="s">
        <v>1574</v>
      </c>
      <c r="F636" s="29">
        <f t="shared" si="75"/>
        <v>2025</v>
      </c>
      <c r="G636" s="29" t="str">
        <f t="shared" si="76"/>
        <v>June</v>
      </c>
      <c r="H636" s="30">
        <v>58479</v>
      </c>
      <c r="I636" s="30">
        <v>3449</v>
      </c>
      <c r="J636" s="31">
        <v>525</v>
      </c>
      <c r="K636" s="31">
        <v>332</v>
      </c>
      <c r="L636" s="31">
        <v>138</v>
      </c>
      <c r="M636" s="32">
        <v>36555.38</v>
      </c>
      <c r="N636" s="32">
        <v>944561.57</v>
      </c>
      <c r="O636" s="33">
        <f t="shared" si="79"/>
        <v>5.9</v>
      </c>
      <c r="P636" s="34">
        <f t="shared" si="77"/>
        <v>69.6292952380952</v>
      </c>
      <c r="Q636" s="35">
        <f t="shared" si="78"/>
        <v>25.8391943949153</v>
      </c>
      <c r="R636" s="35">
        <f t="shared" si="80"/>
        <v>10.5988344447666</v>
      </c>
      <c r="S636" s="33">
        <f t="shared" si="81"/>
        <v>625.1</v>
      </c>
      <c r="T636" s="36">
        <f t="shared" si="82"/>
        <v>2483.92</v>
      </c>
    </row>
    <row r="637" spans="1:20">
      <c r="A637" s="37">
        <v>45834</v>
      </c>
      <c r="B637" s="38" t="s">
        <v>1128</v>
      </c>
      <c r="C637" s="38" t="s">
        <v>1129</v>
      </c>
      <c r="D637" s="38" t="s">
        <v>1130</v>
      </c>
      <c r="E637" s="38" t="s">
        <v>1574</v>
      </c>
      <c r="F637" s="38">
        <f t="shared" si="75"/>
        <v>2025</v>
      </c>
      <c r="G637" s="38" t="str">
        <f t="shared" si="76"/>
        <v>June</v>
      </c>
      <c r="H637" s="30">
        <v>89905</v>
      </c>
      <c r="I637" s="30">
        <v>4837</v>
      </c>
      <c r="J637" s="39">
        <v>875</v>
      </c>
      <c r="K637" s="39">
        <v>550</v>
      </c>
      <c r="L637" s="39">
        <v>241</v>
      </c>
      <c r="M637" s="40">
        <v>51333.26</v>
      </c>
      <c r="N637" s="40">
        <v>1062504.38</v>
      </c>
      <c r="O637" s="33">
        <f t="shared" si="79"/>
        <v>5.38</v>
      </c>
      <c r="P637" s="34">
        <f t="shared" si="77"/>
        <v>58.6665828571429</v>
      </c>
      <c r="Q637" s="35">
        <f t="shared" si="78"/>
        <v>20.698166841537</v>
      </c>
      <c r="R637" s="35">
        <f t="shared" si="80"/>
        <v>10.6126235269795</v>
      </c>
      <c r="S637" s="33">
        <f t="shared" si="81"/>
        <v>570.97</v>
      </c>
      <c r="T637" s="36">
        <f t="shared" si="82"/>
        <v>1969.82</v>
      </c>
    </row>
    <row r="638" spans="1:20">
      <c r="A638" s="28">
        <v>45835</v>
      </c>
      <c r="B638" s="29" t="s">
        <v>1128</v>
      </c>
      <c r="C638" s="29" t="s">
        <v>1129</v>
      </c>
      <c r="D638" s="29" t="s">
        <v>1130</v>
      </c>
      <c r="E638" s="29" t="s">
        <v>1574</v>
      </c>
      <c r="F638" s="29">
        <f t="shared" si="75"/>
        <v>2025</v>
      </c>
      <c r="G638" s="29" t="str">
        <f t="shared" si="76"/>
        <v>June</v>
      </c>
      <c r="H638" s="30">
        <v>92090</v>
      </c>
      <c r="I638" s="30">
        <v>5092</v>
      </c>
      <c r="J638" s="31">
        <v>879</v>
      </c>
      <c r="K638" s="31">
        <v>474</v>
      </c>
      <c r="L638" s="31">
        <v>260</v>
      </c>
      <c r="M638" s="32">
        <v>84474.07</v>
      </c>
      <c r="N638" s="32">
        <v>1445950.1</v>
      </c>
      <c r="O638" s="33">
        <f t="shared" si="79"/>
        <v>5.53</v>
      </c>
      <c r="P638" s="34">
        <f t="shared" si="77"/>
        <v>96.1024687144482</v>
      </c>
      <c r="Q638" s="35">
        <f t="shared" si="78"/>
        <v>17.1170881194667</v>
      </c>
      <c r="R638" s="35">
        <f t="shared" si="80"/>
        <v>16.5895659858602</v>
      </c>
      <c r="S638" s="33">
        <f t="shared" si="81"/>
        <v>917.3</v>
      </c>
      <c r="T638" s="36">
        <f t="shared" si="82"/>
        <v>1611.71</v>
      </c>
    </row>
    <row r="639" spans="1:20">
      <c r="A639" s="37">
        <v>45836</v>
      </c>
      <c r="B639" s="38" t="s">
        <v>1128</v>
      </c>
      <c r="C639" s="38" t="s">
        <v>1129</v>
      </c>
      <c r="D639" s="38" t="s">
        <v>1130</v>
      </c>
      <c r="E639" s="38" t="s">
        <v>1574</v>
      </c>
      <c r="F639" s="38">
        <f t="shared" si="75"/>
        <v>2025</v>
      </c>
      <c r="G639" s="38" t="str">
        <f t="shared" si="76"/>
        <v>June</v>
      </c>
      <c r="H639" s="30">
        <v>118966</v>
      </c>
      <c r="I639" s="30">
        <v>6945</v>
      </c>
      <c r="J639" s="39">
        <v>1680</v>
      </c>
      <c r="K639" s="39">
        <v>1063</v>
      </c>
      <c r="L639" s="39">
        <v>602</v>
      </c>
      <c r="M639" s="40">
        <v>86687.2</v>
      </c>
      <c r="N639" s="40">
        <v>1924916.2</v>
      </c>
      <c r="O639" s="33">
        <f t="shared" si="79"/>
        <v>5.84</v>
      </c>
      <c r="P639" s="34">
        <f t="shared" si="77"/>
        <v>51.5995238095238</v>
      </c>
      <c r="Q639" s="35">
        <f t="shared" si="78"/>
        <v>22.205310587953</v>
      </c>
      <c r="R639" s="35">
        <f t="shared" si="80"/>
        <v>12.4819582433405</v>
      </c>
      <c r="S639" s="33">
        <f t="shared" si="81"/>
        <v>728.67</v>
      </c>
      <c r="T639" s="36">
        <f t="shared" si="82"/>
        <v>2120.53</v>
      </c>
    </row>
    <row r="640" spans="1:20">
      <c r="A640" s="28">
        <v>45837</v>
      </c>
      <c r="B640" s="29" t="s">
        <v>1128</v>
      </c>
      <c r="C640" s="29" t="s">
        <v>1129</v>
      </c>
      <c r="D640" s="29" t="s">
        <v>1130</v>
      </c>
      <c r="E640" s="29" t="s">
        <v>1574</v>
      </c>
      <c r="F640" s="29">
        <f t="shared" si="75"/>
        <v>2025</v>
      </c>
      <c r="G640" s="29" t="str">
        <f t="shared" si="76"/>
        <v>June</v>
      </c>
      <c r="H640" s="30">
        <v>54787</v>
      </c>
      <c r="I640" s="30">
        <v>2701</v>
      </c>
      <c r="J640" s="31">
        <v>414</v>
      </c>
      <c r="K640" s="31">
        <v>256</v>
      </c>
      <c r="L640" s="31">
        <v>108</v>
      </c>
      <c r="M640" s="32">
        <v>23226.4</v>
      </c>
      <c r="N640" s="32">
        <v>639599.7</v>
      </c>
      <c r="O640" s="33">
        <f t="shared" si="79"/>
        <v>4.93</v>
      </c>
      <c r="P640" s="34">
        <f t="shared" si="77"/>
        <v>56.1024154589372</v>
      </c>
      <c r="Q640" s="35">
        <f t="shared" si="78"/>
        <v>27.5376166775738</v>
      </c>
      <c r="R640" s="35">
        <f t="shared" si="80"/>
        <v>8.59918548685672</v>
      </c>
      <c r="S640" s="33">
        <f t="shared" si="81"/>
        <v>423.94</v>
      </c>
      <c r="T640" s="36">
        <f t="shared" si="82"/>
        <v>2653.76</v>
      </c>
    </row>
    <row r="641" spans="1:20">
      <c r="A641" s="37">
        <v>45838</v>
      </c>
      <c r="B641" s="38" t="s">
        <v>1128</v>
      </c>
      <c r="C641" s="38" t="s">
        <v>1129</v>
      </c>
      <c r="D641" s="38" t="s">
        <v>1130</v>
      </c>
      <c r="E641" s="38" t="s">
        <v>1574</v>
      </c>
      <c r="F641" s="38">
        <f t="shared" si="75"/>
        <v>2025</v>
      </c>
      <c r="G641" s="38" t="str">
        <f t="shared" si="76"/>
        <v>June</v>
      </c>
      <c r="H641" s="30">
        <v>81314</v>
      </c>
      <c r="I641" s="30">
        <v>3799</v>
      </c>
      <c r="J641" s="39">
        <v>757</v>
      </c>
      <c r="K641" s="39">
        <v>427</v>
      </c>
      <c r="L641" s="39">
        <v>191</v>
      </c>
      <c r="M641" s="40">
        <v>47760.64</v>
      </c>
      <c r="N641" s="40">
        <v>1085518.31</v>
      </c>
      <c r="O641" s="33">
        <f t="shared" si="79"/>
        <v>4.67</v>
      </c>
      <c r="P641" s="34">
        <f t="shared" si="77"/>
        <v>63.0919947159841</v>
      </c>
      <c r="Q641" s="35">
        <f t="shared" si="78"/>
        <v>22.7283032639429</v>
      </c>
      <c r="R641" s="35">
        <f t="shared" si="80"/>
        <v>12.57189786786</v>
      </c>
      <c r="S641" s="33">
        <f t="shared" si="81"/>
        <v>587.36</v>
      </c>
      <c r="T641" s="36">
        <f t="shared" si="82"/>
        <v>2172.83</v>
      </c>
    </row>
    <row r="642" spans="1:20">
      <c r="A642" s="28">
        <v>45664</v>
      </c>
      <c r="B642" s="29" t="s">
        <v>1128</v>
      </c>
      <c r="C642" s="29" t="s">
        <v>1129</v>
      </c>
      <c r="D642" s="29" t="s">
        <v>1130</v>
      </c>
      <c r="E642" s="29" t="s">
        <v>1574</v>
      </c>
      <c r="F642" s="29">
        <f t="shared" ref="F642:F705" si="83">YEAR(A642)</f>
        <v>2025</v>
      </c>
      <c r="G642" s="29" t="str">
        <f t="shared" ref="G642:G705" si="84">TEXT(A642,"mmmm")</f>
        <v>January</v>
      </c>
      <c r="H642" s="30">
        <v>92036</v>
      </c>
      <c r="I642" s="30">
        <v>5655</v>
      </c>
      <c r="J642" s="31">
        <v>1370</v>
      </c>
      <c r="K642" s="31">
        <v>718</v>
      </c>
      <c r="L642" s="31">
        <v>314</v>
      </c>
      <c r="M642" s="32">
        <v>63223.93</v>
      </c>
      <c r="N642" s="32">
        <v>1366952.36</v>
      </c>
      <c r="O642" s="33">
        <f t="shared" si="79"/>
        <v>6.14</v>
      </c>
      <c r="P642" s="34">
        <f t="shared" ref="P642:P705" si="85">M642/J642</f>
        <v>46.1488540145985</v>
      </c>
      <c r="Q642" s="35">
        <f t="shared" ref="Q642:Q705" si="86">N642/M642</f>
        <v>21.6208065522026</v>
      </c>
      <c r="R642" s="35">
        <f t="shared" si="80"/>
        <v>11.1801821396994</v>
      </c>
      <c r="S642" s="33">
        <f t="shared" si="81"/>
        <v>686.95</v>
      </c>
      <c r="T642" s="36">
        <f t="shared" si="82"/>
        <v>2062.08</v>
      </c>
    </row>
    <row r="643" spans="1:20">
      <c r="A643" s="37">
        <v>45695</v>
      </c>
      <c r="B643" s="38" t="s">
        <v>1128</v>
      </c>
      <c r="C643" s="38" t="s">
        <v>1129</v>
      </c>
      <c r="D643" s="38" t="s">
        <v>1130</v>
      </c>
      <c r="E643" s="38" t="s">
        <v>1574</v>
      </c>
      <c r="F643" s="38">
        <f t="shared" si="83"/>
        <v>2025</v>
      </c>
      <c r="G643" s="38" t="str">
        <f t="shared" si="84"/>
        <v>February</v>
      </c>
      <c r="H643" s="30">
        <v>269403</v>
      </c>
      <c r="I643" s="30">
        <v>18663</v>
      </c>
      <c r="J643" s="39">
        <v>4144</v>
      </c>
      <c r="K643" s="39">
        <v>2502</v>
      </c>
      <c r="L643" s="39">
        <v>1360</v>
      </c>
      <c r="M643" s="40">
        <v>150891.95</v>
      </c>
      <c r="N643" s="40">
        <v>8181786.32</v>
      </c>
      <c r="O643" s="33">
        <f t="shared" ref="O643:O706" si="87">ROUND(I643/H643*100,2)</f>
        <v>6.93</v>
      </c>
      <c r="P643" s="34">
        <f t="shared" si="85"/>
        <v>36.4121500965251</v>
      </c>
      <c r="Q643" s="35">
        <f t="shared" si="86"/>
        <v>54.2228151998831</v>
      </c>
      <c r="R643" s="35">
        <f t="shared" si="80"/>
        <v>8.08508546321599</v>
      </c>
      <c r="S643" s="33">
        <f t="shared" si="81"/>
        <v>560.1</v>
      </c>
      <c r="T643" s="36">
        <f t="shared" si="82"/>
        <v>5322.28</v>
      </c>
    </row>
    <row r="644" spans="1:20">
      <c r="A644" s="28">
        <v>45723</v>
      </c>
      <c r="B644" s="29" t="s">
        <v>1128</v>
      </c>
      <c r="C644" s="29" t="s">
        <v>1129</v>
      </c>
      <c r="D644" s="29" t="s">
        <v>1130</v>
      </c>
      <c r="E644" s="29" t="s">
        <v>1574</v>
      </c>
      <c r="F644" s="29">
        <f t="shared" si="83"/>
        <v>2025</v>
      </c>
      <c r="G644" s="29" t="str">
        <f t="shared" si="84"/>
        <v>March</v>
      </c>
      <c r="H644" s="30">
        <v>56759</v>
      </c>
      <c r="I644" s="30">
        <v>4315</v>
      </c>
      <c r="J644" s="31">
        <v>975</v>
      </c>
      <c r="K644" s="31">
        <v>572</v>
      </c>
      <c r="L644" s="31">
        <v>279</v>
      </c>
      <c r="M644" s="32">
        <v>47812.04</v>
      </c>
      <c r="N644" s="32">
        <v>1401844.34</v>
      </c>
      <c r="O644" s="33">
        <f t="shared" si="87"/>
        <v>7.6</v>
      </c>
      <c r="P644" s="34">
        <f t="shared" si="85"/>
        <v>49.0379897435897</v>
      </c>
      <c r="Q644" s="35">
        <f t="shared" si="86"/>
        <v>29.319902267295</v>
      </c>
      <c r="R644" s="35">
        <f t="shared" si="80"/>
        <v>11.080426419467</v>
      </c>
      <c r="S644" s="33">
        <f t="shared" si="81"/>
        <v>842.37</v>
      </c>
      <c r="T644" s="36">
        <f t="shared" si="82"/>
        <v>2831.99</v>
      </c>
    </row>
    <row r="645" spans="1:20">
      <c r="A645" s="37">
        <v>45754</v>
      </c>
      <c r="B645" s="38" t="s">
        <v>1128</v>
      </c>
      <c r="C645" s="38" t="s">
        <v>1129</v>
      </c>
      <c r="D645" s="38" t="s">
        <v>1130</v>
      </c>
      <c r="E645" s="38" t="s">
        <v>1574</v>
      </c>
      <c r="F645" s="38">
        <f t="shared" si="83"/>
        <v>2025</v>
      </c>
      <c r="G645" s="38" t="str">
        <f t="shared" si="84"/>
        <v>April</v>
      </c>
      <c r="H645" s="30">
        <v>294725</v>
      </c>
      <c r="I645" s="30">
        <v>14169</v>
      </c>
      <c r="J645" s="39">
        <v>3083</v>
      </c>
      <c r="K645" s="39">
        <v>1956</v>
      </c>
      <c r="L645" s="39">
        <v>783</v>
      </c>
      <c r="M645" s="40">
        <v>267573.94</v>
      </c>
      <c r="N645" s="40">
        <v>2450851.61</v>
      </c>
      <c r="O645" s="33">
        <f t="shared" si="87"/>
        <v>4.81</v>
      </c>
      <c r="P645" s="34">
        <f t="shared" si="85"/>
        <v>86.7901200129744</v>
      </c>
      <c r="Q645" s="35">
        <f t="shared" si="86"/>
        <v>9.15953029656027</v>
      </c>
      <c r="R645" s="35">
        <f t="shared" si="80"/>
        <v>18.8844618533418</v>
      </c>
      <c r="S645" s="33">
        <f t="shared" si="81"/>
        <v>907.88</v>
      </c>
      <c r="T645" s="36">
        <f t="shared" si="82"/>
        <v>815.95</v>
      </c>
    </row>
    <row r="646" spans="1:20">
      <c r="A646" s="28">
        <v>45784</v>
      </c>
      <c r="B646" s="29" t="s">
        <v>1128</v>
      </c>
      <c r="C646" s="29" t="s">
        <v>1129</v>
      </c>
      <c r="D646" s="29" t="s">
        <v>1130</v>
      </c>
      <c r="E646" s="29" t="s">
        <v>1574</v>
      </c>
      <c r="F646" s="29">
        <f t="shared" si="83"/>
        <v>2025</v>
      </c>
      <c r="G646" s="29" t="str">
        <f t="shared" si="84"/>
        <v>May</v>
      </c>
      <c r="H646" s="30">
        <v>284349</v>
      </c>
      <c r="I646" s="30">
        <v>9408</v>
      </c>
      <c r="J646" s="31">
        <v>1926</v>
      </c>
      <c r="K646" s="31">
        <v>1228</v>
      </c>
      <c r="L646" s="31">
        <v>734</v>
      </c>
      <c r="M646" s="32">
        <v>145135.47</v>
      </c>
      <c r="N646" s="32">
        <v>3166144.83</v>
      </c>
      <c r="O646" s="33">
        <f t="shared" si="87"/>
        <v>3.31</v>
      </c>
      <c r="P646" s="34">
        <f t="shared" si="85"/>
        <v>75.3559034267913</v>
      </c>
      <c r="Q646" s="35">
        <f t="shared" si="86"/>
        <v>21.8151002646011</v>
      </c>
      <c r="R646" s="35">
        <f t="shared" si="80"/>
        <v>15.4268144132653</v>
      </c>
      <c r="S646" s="33">
        <f t="shared" si="81"/>
        <v>510.41</v>
      </c>
      <c r="T646" s="36">
        <f t="shared" si="82"/>
        <v>2081.51</v>
      </c>
    </row>
    <row r="647" spans="1:20">
      <c r="A647" s="37">
        <v>45815</v>
      </c>
      <c r="B647" s="38" t="s">
        <v>1128</v>
      </c>
      <c r="C647" s="38" t="s">
        <v>1129</v>
      </c>
      <c r="D647" s="38" t="s">
        <v>1130</v>
      </c>
      <c r="E647" s="38" t="s">
        <v>1574</v>
      </c>
      <c r="F647" s="38">
        <f t="shared" si="83"/>
        <v>2025</v>
      </c>
      <c r="G647" s="38" t="str">
        <f t="shared" si="84"/>
        <v>June</v>
      </c>
      <c r="H647" s="30">
        <v>215773</v>
      </c>
      <c r="I647" s="30">
        <v>11011</v>
      </c>
      <c r="J647" s="39">
        <v>2592</v>
      </c>
      <c r="K647" s="39">
        <v>1638</v>
      </c>
      <c r="L647" s="39">
        <v>787</v>
      </c>
      <c r="M647" s="40">
        <v>114990.31</v>
      </c>
      <c r="N647" s="40">
        <v>3955862.49</v>
      </c>
      <c r="O647" s="33">
        <f t="shared" si="87"/>
        <v>5.1</v>
      </c>
      <c r="P647" s="34">
        <f t="shared" si="85"/>
        <v>44.3635455246914</v>
      </c>
      <c r="Q647" s="35">
        <f t="shared" si="86"/>
        <v>34.401702978277</v>
      </c>
      <c r="R647" s="35">
        <f t="shared" si="80"/>
        <v>10.4432213241304</v>
      </c>
      <c r="S647" s="33">
        <f t="shared" si="81"/>
        <v>532.92</v>
      </c>
      <c r="T647" s="36">
        <f t="shared" si="82"/>
        <v>3340.17</v>
      </c>
    </row>
    <row r="648" spans="1:20">
      <c r="A648" s="28">
        <v>45845</v>
      </c>
      <c r="B648" s="29" t="s">
        <v>1128</v>
      </c>
      <c r="C648" s="29" t="s">
        <v>1129</v>
      </c>
      <c r="D648" s="29" t="s">
        <v>1130</v>
      </c>
      <c r="E648" s="29" t="s">
        <v>1574</v>
      </c>
      <c r="F648" s="29">
        <f t="shared" si="83"/>
        <v>2025</v>
      </c>
      <c r="G648" s="29" t="str">
        <f t="shared" si="84"/>
        <v>July</v>
      </c>
      <c r="H648" s="30">
        <v>265814</v>
      </c>
      <c r="I648" s="30">
        <v>18135</v>
      </c>
      <c r="J648" s="31">
        <v>3413</v>
      </c>
      <c r="K648" s="31">
        <v>1802</v>
      </c>
      <c r="L648" s="31">
        <v>979</v>
      </c>
      <c r="M648" s="32">
        <v>178983.87</v>
      </c>
      <c r="N648" s="32">
        <v>4945617.34</v>
      </c>
      <c r="O648" s="33">
        <f t="shared" si="87"/>
        <v>6.82</v>
      </c>
      <c r="P648" s="34">
        <f t="shared" si="85"/>
        <v>52.4418019337826</v>
      </c>
      <c r="Q648" s="35">
        <f t="shared" si="86"/>
        <v>27.6316370855094</v>
      </c>
      <c r="R648" s="35">
        <f t="shared" si="80"/>
        <v>9.86952688172043</v>
      </c>
      <c r="S648" s="33">
        <f t="shared" si="81"/>
        <v>673.34</v>
      </c>
      <c r="T648" s="36">
        <f t="shared" si="82"/>
        <v>2663.16</v>
      </c>
    </row>
    <row r="649" spans="1:20">
      <c r="A649" s="37">
        <v>45876</v>
      </c>
      <c r="B649" s="38" t="s">
        <v>1128</v>
      </c>
      <c r="C649" s="38" t="s">
        <v>1129</v>
      </c>
      <c r="D649" s="38" t="s">
        <v>1130</v>
      </c>
      <c r="E649" s="38" t="s">
        <v>1574</v>
      </c>
      <c r="F649" s="38">
        <f t="shared" si="83"/>
        <v>2025</v>
      </c>
      <c r="G649" s="38" t="str">
        <f t="shared" si="84"/>
        <v>August</v>
      </c>
      <c r="H649" s="30">
        <v>254425</v>
      </c>
      <c r="I649" s="30">
        <v>11942</v>
      </c>
      <c r="J649" s="39">
        <v>2510</v>
      </c>
      <c r="K649" s="39">
        <v>1384</v>
      </c>
      <c r="L649" s="39">
        <v>700</v>
      </c>
      <c r="M649" s="40">
        <v>163582.32</v>
      </c>
      <c r="N649" s="40">
        <v>5486851.24</v>
      </c>
      <c r="O649" s="33">
        <f t="shared" si="87"/>
        <v>4.69</v>
      </c>
      <c r="P649" s="34">
        <f t="shared" si="85"/>
        <v>65.1722390438247</v>
      </c>
      <c r="Q649" s="35">
        <f t="shared" si="86"/>
        <v>33.5418353279254</v>
      </c>
      <c r="R649" s="35">
        <f t="shared" si="80"/>
        <v>13.6980673254061</v>
      </c>
      <c r="S649" s="33">
        <f t="shared" si="81"/>
        <v>642.95</v>
      </c>
      <c r="T649" s="36">
        <f t="shared" si="82"/>
        <v>3254.18</v>
      </c>
    </row>
    <row r="650" spans="1:20">
      <c r="A650" s="28">
        <v>45907</v>
      </c>
      <c r="B650" s="29" t="s">
        <v>1128</v>
      </c>
      <c r="C650" s="29" t="s">
        <v>1129</v>
      </c>
      <c r="D650" s="29" t="s">
        <v>1130</v>
      </c>
      <c r="E650" s="29" t="s">
        <v>1574</v>
      </c>
      <c r="F650" s="29">
        <f t="shared" si="83"/>
        <v>2025</v>
      </c>
      <c r="G650" s="29" t="str">
        <f t="shared" si="84"/>
        <v>September</v>
      </c>
      <c r="H650" s="30">
        <v>259369</v>
      </c>
      <c r="I650" s="30">
        <v>9336</v>
      </c>
      <c r="J650" s="31">
        <v>2252</v>
      </c>
      <c r="K650" s="31">
        <v>1107</v>
      </c>
      <c r="L650" s="31">
        <v>588</v>
      </c>
      <c r="M650" s="32">
        <v>154589.95</v>
      </c>
      <c r="N650" s="32">
        <v>3499060.17</v>
      </c>
      <c r="O650" s="33">
        <f t="shared" si="87"/>
        <v>3.6</v>
      </c>
      <c r="P650" s="34">
        <f t="shared" si="85"/>
        <v>68.6456261101243</v>
      </c>
      <c r="Q650" s="35">
        <f t="shared" si="86"/>
        <v>22.6344608430238</v>
      </c>
      <c r="R650" s="35">
        <f t="shared" si="80"/>
        <v>16.5584779348758</v>
      </c>
      <c r="S650" s="33">
        <f t="shared" si="81"/>
        <v>596.02</v>
      </c>
      <c r="T650" s="36">
        <f t="shared" si="82"/>
        <v>2163.45</v>
      </c>
    </row>
    <row r="651" spans="1:20">
      <c r="A651" s="37">
        <v>45937</v>
      </c>
      <c r="B651" s="38" t="s">
        <v>1128</v>
      </c>
      <c r="C651" s="38" t="s">
        <v>1129</v>
      </c>
      <c r="D651" s="38" t="s">
        <v>1130</v>
      </c>
      <c r="E651" s="38" t="s">
        <v>1574</v>
      </c>
      <c r="F651" s="38">
        <f t="shared" si="83"/>
        <v>2025</v>
      </c>
      <c r="G651" s="38" t="str">
        <f t="shared" si="84"/>
        <v>October</v>
      </c>
      <c r="H651" s="30">
        <v>221044</v>
      </c>
      <c r="I651" s="30">
        <v>13069</v>
      </c>
      <c r="J651" s="39">
        <v>2745</v>
      </c>
      <c r="K651" s="39">
        <v>1298</v>
      </c>
      <c r="L651" s="39">
        <v>558</v>
      </c>
      <c r="M651" s="40">
        <v>160690.05</v>
      </c>
      <c r="N651" s="40">
        <v>3236187.64</v>
      </c>
      <c r="O651" s="33">
        <f t="shared" si="87"/>
        <v>5.91</v>
      </c>
      <c r="P651" s="34">
        <f t="shared" si="85"/>
        <v>58.5391803278688</v>
      </c>
      <c r="Q651" s="35">
        <f t="shared" si="86"/>
        <v>20.1393156576901</v>
      </c>
      <c r="R651" s="35">
        <f t="shared" si="80"/>
        <v>12.2955122809702</v>
      </c>
      <c r="S651" s="33">
        <f t="shared" si="81"/>
        <v>726.96</v>
      </c>
      <c r="T651" s="36">
        <f t="shared" si="82"/>
        <v>1913.93</v>
      </c>
    </row>
    <row r="652" spans="1:20">
      <c r="A652" s="28">
        <v>45968</v>
      </c>
      <c r="B652" s="29" t="s">
        <v>1128</v>
      </c>
      <c r="C652" s="29" t="s">
        <v>1129</v>
      </c>
      <c r="D652" s="29" t="s">
        <v>1130</v>
      </c>
      <c r="E652" s="29" t="s">
        <v>1574</v>
      </c>
      <c r="F652" s="29">
        <f t="shared" si="83"/>
        <v>2025</v>
      </c>
      <c r="G652" s="29" t="str">
        <f t="shared" si="84"/>
        <v>November</v>
      </c>
      <c r="H652" s="30">
        <v>94706</v>
      </c>
      <c r="I652" s="30">
        <v>5747</v>
      </c>
      <c r="J652" s="31">
        <v>890</v>
      </c>
      <c r="K652" s="31">
        <v>494</v>
      </c>
      <c r="L652" s="31">
        <v>278</v>
      </c>
      <c r="M652" s="32">
        <v>65416.27</v>
      </c>
      <c r="N652" s="32">
        <v>2144560.42</v>
      </c>
      <c r="O652" s="33">
        <f t="shared" si="87"/>
        <v>6.07</v>
      </c>
      <c r="P652" s="34">
        <f t="shared" si="85"/>
        <v>73.5014269662921</v>
      </c>
      <c r="Q652" s="35">
        <f t="shared" si="86"/>
        <v>32.7832880107655</v>
      </c>
      <c r="R652" s="35">
        <f t="shared" si="80"/>
        <v>11.3826813989908</v>
      </c>
      <c r="S652" s="33">
        <f t="shared" si="81"/>
        <v>690.73</v>
      </c>
      <c r="T652" s="36">
        <f t="shared" si="82"/>
        <v>3178.33</v>
      </c>
    </row>
    <row r="653" spans="1:20">
      <c r="A653" s="37">
        <v>45998</v>
      </c>
      <c r="B653" s="38" t="s">
        <v>1128</v>
      </c>
      <c r="C653" s="38" t="s">
        <v>1129</v>
      </c>
      <c r="D653" s="38" t="s">
        <v>1130</v>
      </c>
      <c r="E653" s="38" t="s">
        <v>1574</v>
      </c>
      <c r="F653" s="38">
        <f t="shared" si="83"/>
        <v>2025</v>
      </c>
      <c r="G653" s="38" t="str">
        <f t="shared" si="84"/>
        <v>December</v>
      </c>
      <c r="H653" s="30">
        <v>176503</v>
      </c>
      <c r="I653" s="30">
        <v>10957</v>
      </c>
      <c r="J653" s="39">
        <v>1846</v>
      </c>
      <c r="K653" s="39">
        <v>985</v>
      </c>
      <c r="L653" s="39">
        <v>397</v>
      </c>
      <c r="M653" s="40">
        <v>145083.42</v>
      </c>
      <c r="N653" s="40">
        <v>1468396.6</v>
      </c>
      <c r="O653" s="33">
        <f t="shared" si="87"/>
        <v>6.21</v>
      </c>
      <c r="P653" s="34">
        <f t="shared" si="85"/>
        <v>78.5934019501625</v>
      </c>
      <c r="Q653" s="35">
        <f t="shared" si="86"/>
        <v>10.1210503584765</v>
      </c>
      <c r="R653" s="35">
        <f t="shared" si="80"/>
        <v>13.2411627270238</v>
      </c>
      <c r="S653" s="33">
        <f t="shared" si="81"/>
        <v>821.99</v>
      </c>
      <c r="T653" s="36">
        <f t="shared" si="82"/>
        <v>912.11</v>
      </c>
    </row>
    <row r="654" spans="1:20">
      <c r="A654" s="28">
        <v>45851</v>
      </c>
      <c r="B654" s="29" t="s">
        <v>1128</v>
      </c>
      <c r="C654" s="29" t="s">
        <v>1129</v>
      </c>
      <c r="D654" s="29" t="s">
        <v>1130</v>
      </c>
      <c r="E654" s="29" t="s">
        <v>1574</v>
      </c>
      <c r="F654" s="29">
        <f t="shared" si="83"/>
        <v>2025</v>
      </c>
      <c r="G654" s="29" t="str">
        <f t="shared" si="84"/>
        <v>July</v>
      </c>
      <c r="H654" s="30">
        <v>237358</v>
      </c>
      <c r="I654" s="30">
        <v>14516</v>
      </c>
      <c r="J654" s="31">
        <v>2484</v>
      </c>
      <c r="K654" s="31">
        <v>1272</v>
      </c>
      <c r="L654" s="31">
        <v>548</v>
      </c>
      <c r="M654" s="32">
        <v>133175.25</v>
      </c>
      <c r="N654" s="32">
        <v>4227791.02</v>
      </c>
      <c r="O654" s="33">
        <f t="shared" si="87"/>
        <v>6.12</v>
      </c>
      <c r="P654" s="34">
        <f t="shared" si="85"/>
        <v>53.6132246376812</v>
      </c>
      <c r="Q654" s="35">
        <f t="shared" si="86"/>
        <v>31.7460715861243</v>
      </c>
      <c r="R654" s="35">
        <f t="shared" si="80"/>
        <v>9.17437655001378</v>
      </c>
      <c r="S654" s="33">
        <f t="shared" si="81"/>
        <v>561.07</v>
      </c>
      <c r="T654" s="36">
        <f t="shared" si="82"/>
        <v>3074.61</v>
      </c>
    </row>
    <row r="655" spans="1:20">
      <c r="A655" s="37">
        <v>45852</v>
      </c>
      <c r="B655" s="38" t="s">
        <v>1128</v>
      </c>
      <c r="C655" s="38" t="s">
        <v>1129</v>
      </c>
      <c r="D655" s="38" t="s">
        <v>1130</v>
      </c>
      <c r="E655" s="38" t="s">
        <v>1574</v>
      </c>
      <c r="F655" s="38">
        <f t="shared" si="83"/>
        <v>2025</v>
      </c>
      <c r="G655" s="38" t="str">
        <f t="shared" si="84"/>
        <v>July</v>
      </c>
      <c r="H655" s="30">
        <v>50848</v>
      </c>
      <c r="I655" s="30">
        <v>3877</v>
      </c>
      <c r="J655" s="39">
        <v>825</v>
      </c>
      <c r="K655" s="39">
        <v>405</v>
      </c>
      <c r="L655" s="39">
        <v>190</v>
      </c>
      <c r="M655" s="40">
        <v>43221.5</v>
      </c>
      <c r="N655" s="40">
        <v>1323600.99</v>
      </c>
      <c r="O655" s="33">
        <f t="shared" si="87"/>
        <v>7.62</v>
      </c>
      <c r="P655" s="34">
        <f t="shared" si="85"/>
        <v>52.389696969697</v>
      </c>
      <c r="Q655" s="35">
        <f t="shared" si="86"/>
        <v>30.6236708582534</v>
      </c>
      <c r="R655" s="35">
        <f t="shared" si="80"/>
        <v>11.1481815836987</v>
      </c>
      <c r="S655" s="33">
        <f t="shared" si="81"/>
        <v>850.01</v>
      </c>
      <c r="T655" s="36">
        <f t="shared" si="82"/>
        <v>2962.37</v>
      </c>
    </row>
    <row r="656" spans="1:20">
      <c r="A656" s="28">
        <v>45853</v>
      </c>
      <c r="B656" s="29" t="s">
        <v>1128</v>
      </c>
      <c r="C656" s="29" t="s">
        <v>1129</v>
      </c>
      <c r="D656" s="29" t="s">
        <v>1130</v>
      </c>
      <c r="E656" s="29" t="s">
        <v>1574</v>
      </c>
      <c r="F656" s="29">
        <f t="shared" si="83"/>
        <v>2025</v>
      </c>
      <c r="G656" s="29" t="str">
        <f t="shared" si="84"/>
        <v>July</v>
      </c>
      <c r="H656" s="30">
        <v>96272</v>
      </c>
      <c r="I656" s="30">
        <v>7109</v>
      </c>
      <c r="J656" s="31">
        <v>1160</v>
      </c>
      <c r="K656" s="31">
        <v>673</v>
      </c>
      <c r="L656" s="31">
        <v>373</v>
      </c>
      <c r="M656" s="32">
        <v>61170.4</v>
      </c>
      <c r="N656" s="32">
        <v>1645196.91</v>
      </c>
      <c r="O656" s="33">
        <f t="shared" si="87"/>
        <v>7.38</v>
      </c>
      <c r="P656" s="34">
        <f t="shared" si="85"/>
        <v>52.7331034482759</v>
      </c>
      <c r="Q656" s="35">
        <f t="shared" si="86"/>
        <v>26.8953106404405</v>
      </c>
      <c r="R656" s="35">
        <f t="shared" si="80"/>
        <v>8.60464200309467</v>
      </c>
      <c r="S656" s="33">
        <f t="shared" si="81"/>
        <v>635.39</v>
      </c>
      <c r="T656" s="36">
        <f t="shared" si="82"/>
        <v>2589.53</v>
      </c>
    </row>
    <row r="657" spans="1:20">
      <c r="A657" s="37">
        <v>45854</v>
      </c>
      <c r="B657" s="38" t="s">
        <v>1128</v>
      </c>
      <c r="C657" s="38" t="s">
        <v>1129</v>
      </c>
      <c r="D657" s="38" t="s">
        <v>1130</v>
      </c>
      <c r="E657" s="38" t="s">
        <v>1574</v>
      </c>
      <c r="F657" s="38">
        <f t="shared" si="83"/>
        <v>2025</v>
      </c>
      <c r="G657" s="38" t="str">
        <f t="shared" si="84"/>
        <v>July</v>
      </c>
      <c r="H657" s="30">
        <v>163136</v>
      </c>
      <c r="I657" s="30">
        <v>7760</v>
      </c>
      <c r="J657" s="39">
        <v>1293</v>
      </c>
      <c r="K657" s="39">
        <v>616</v>
      </c>
      <c r="L657" s="39">
        <v>309</v>
      </c>
      <c r="M657" s="40">
        <v>81536.18</v>
      </c>
      <c r="N657" s="40">
        <v>1996807.57</v>
      </c>
      <c r="O657" s="33">
        <f t="shared" si="87"/>
        <v>4.76</v>
      </c>
      <c r="P657" s="34">
        <f t="shared" si="85"/>
        <v>63.059690641918</v>
      </c>
      <c r="Q657" s="35">
        <f t="shared" si="86"/>
        <v>24.4898346966954</v>
      </c>
      <c r="R657" s="35">
        <f t="shared" si="80"/>
        <v>10.5072396907216</v>
      </c>
      <c r="S657" s="33">
        <f t="shared" si="81"/>
        <v>499.8</v>
      </c>
      <c r="T657" s="36">
        <f t="shared" si="82"/>
        <v>2348.98</v>
      </c>
    </row>
    <row r="658" spans="1:20">
      <c r="A658" s="28">
        <v>45855</v>
      </c>
      <c r="B658" s="29" t="s">
        <v>1128</v>
      </c>
      <c r="C658" s="29" t="s">
        <v>1129</v>
      </c>
      <c r="D658" s="29" t="s">
        <v>1130</v>
      </c>
      <c r="E658" s="29" t="s">
        <v>1574</v>
      </c>
      <c r="F658" s="29">
        <f t="shared" si="83"/>
        <v>2025</v>
      </c>
      <c r="G658" s="29" t="str">
        <f t="shared" si="84"/>
        <v>July</v>
      </c>
      <c r="H658" s="30">
        <v>224881</v>
      </c>
      <c r="I658" s="30">
        <v>13220</v>
      </c>
      <c r="J658" s="31">
        <v>2919</v>
      </c>
      <c r="K658" s="31">
        <v>1678</v>
      </c>
      <c r="L658" s="31">
        <v>726</v>
      </c>
      <c r="M658" s="32">
        <v>209811.4</v>
      </c>
      <c r="N658" s="32">
        <v>4054985.75</v>
      </c>
      <c r="O658" s="33">
        <f t="shared" si="87"/>
        <v>5.88</v>
      </c>
      <c r="P658" s="34">
        <f t="shared" si="85"/>
        <v>71.8778348749572</v>
      </c>
      <c r="Q658" s="35">
        <f t="shared" si="86"/>
        <v>19.3268132713475</v>
      </c>
      <c r="R658" s="35">
        <f t="shared" si="80"/>
        <v>15.870756429652</v>
      </c>
      <c r="S658" s="33">
        <f t="shared" si="81"/>
        <v>932.99</v>
      </c>
      <c r="T658" s="36">
        <f t="shared" si="82"/>
        <v>1832.68</v>
      </c>
    </row>
    <row r="659" spans="1:20">
      <c r="A659" s="37">
        <v>45856</v>
      </c>
      <c r="B659" s="38" t="s">
        <v>1128</v>
      </c>
      <c r="C659" s="38" t="s">
        <v>1129</v>
      </c>
      <c r="D659" s="38" t="s">
        <v>1130</v>
      </c>
      <c r="E659" s="38" t="s">
        <v>1574</v>
      </c>
      <c r="F659" s="38">
        <f t="shared" si="83"/>
        <v>2025</v>
      </c>
      <c r="G659" s="38" t="str">
        <f t="shared" si="84"/>
        <v>July</v>
      </c>
      <c r="H659" s="30">
        <v>107896</v>
      </c>
      <c r="I659" s="30">
        <v>6609</v>
      </c>
      <c r="J659" s="39">
        <v>1436</v>
      </c>
      <c r="K659" s="39">
        <v>892</v>
      </c>
      <c r="L659" s="39">
        <v>459</v>
      </c>
      <c r="M659" s="40">
        <v>104215.29</v>
      </c>
      <c r="N659" s="40">
        <v>2367563.22</v>
      </c>
      <c r="O659" s="33">
        <f t="shared" si="87"/>
        <v>6.13</v>
      </c>
      <c r="P659" s="34">
        <f t="shared" si="85"/>
        <v>72.5733217270195</v>
      </c>
      <c r="Q659" s="35">
        <f t="shared" si="86"/>
        <v>22.7180025119155</v>
      </c>
      <c r="R659" s="35">
        <f t="shared" si="80"/>
        <v>15.7686926917839</v>
      </c>
      <c r="S659" s="33">
        <f t="shared" si="81"/>
        <v>965.89</v>
      </c>
      <c r="T659" s="36">
        <f t="shared" si="82"/>
        <v>2171.8</v>
      </c>
    </row>
    <row r="660" spans="1:20">
      <c r="A660" s="28">
        <v>45857</v>
      </c>
      <c r="B660" s="29" t="s">
        <v>1128</v>
      </c>
      <c r="C660" s="29" t="s">
        <v>1129</v>
      </c>
      <c r="D660" s="29" t="s">
        <v>1130</v>
      </c>
      <c r="E660" s="29" t="s">
        <v>1574</v>
      </c>
      <c r="F660" s="29">
        <f t="shared" si="83"/>
        <v>2025</v>
      </c>
      <c r="G660" s="29" t="str">
        <f t="shared" si="84"/>
        <v>July</v>
      </c>
      <c r="H660" s="30">
        <v>100529</v>
      </c>
      <c r="I660" s="30">
        <v>3042</v>
      </c>
      <c r="J660" s="31">
        <v>580</v>
      </c>
      <c r="K660" s="31">
        <v>326</v>
      </c>
      <c r="L660" s="31">
        <v>173</v>
      </c>
      <c r="M660" s="32">
        <v>52428</v>
      </c>
      <c r="N660" s="32">
        <v>1269806.24</v>
      </c>
      <c r="O660" s="33">
        <f t="shared" si="87"/>
        <v>3.03</v>
      </c>
      <c r="P660" s="34">
        <f t="shared" si="85"/>
        <v>90.3931034482759</v>
      </c>
      <c r="Q660" s="35">
        <f t="shared" si="86"/>
        <v>24.2200015259022</v>
      </c>
      <c r="R660" s="35">
        <f t="shared" si="80"/>
        <v>17.2347140039448</v>
      </c>
      <c r="S660" s="33">
        <f t="shared" si="81"/>
        <v>521.52</v>
      </c>
      <c r="T660" s="36">
        <f t="shared" si="82"/>
        <v>2322</v>
      </c>
    </row>
    <row r="661" spans="1:20">
      <c r="A661" s="37">
        <v>45858</v>
      </c>
      <c r="B661" s="38" t="s">
        <v>1128</v>
      </c>
      <c r="C661" s="38" t="s">
        <v>1129</v>
      </c>
      <c r="D661" s="38" t="s">
        <v>1130</v>
      </c>
      <c r="E661" s="38" t="s">
        <v>1574</v>
      </c>
      <c r="F661" s="38">
        <f t="shared" si="83"/>
        <v>2025</v>
      </c>
      <c r="G661" s="38" t="str">
        <f t="shared" si="84"/>
        <v>July</v>
      </c>
      <c r="H661" s="30">
        <v>59847</v>
      </c>
      <c r="I661" s="30">
        <v>4601</v>
      </c>
      <c r="J661" s="39">
        <v>734</v>
      </c>
      <c r="K661" s="39">
        <v>338</v>
      </c>
      <c r="L661" s="39">
        <v>157</v>
      </c>
      <c r="M661" s="40">
        <v>24579.52</v>
      </c>
      <c r="N661" s="40">
        <v>524652.69</v>
      </c>
      <c r="O661" s="33">
        <f t="shared" si="87"/>
        <v>7.69</v>
      </c>
      <c r="P661" s="34">
        <f t="shared" si="85"/>
        <v>33.4870844686649</v>
      </c>
      <c r="Q661" s="35">
        <f t="shared" si="86"/>
        <v>21.3451153643358</v>
      </c>
      <c r="R661" s="35">
        <f t="shared" si="80"/>
        <v>5.34221256248642</v>
      </c>
      <c r="S661" s="33">
        <f t="shared" si="81"/>
        <v>410.71</v>
      </c>
      <c r="T661" s="36">
        <f t="shared" si="82"/>
        <v>2034.51</v>
      </c>
    </row>
    <row r="662" spans="1:20">
      <c r="A662" s="28">
        <v>45859</v>
      </c>
      <c r="B662" s="29" t="s">
        <v>1128</v>
      </c>
      <c r="C662" s="29" t="s">
        <v>1129</v>
      </c>
      <c r="D662" s="29" t="s">
        <v>1130</v>
      </c>
      <c r="E662" s="29" t="s">
        <v>1574</v>
      </c>
      <c r="F662" s="29">
        <f t="shared" si="83"/>
        <v>2025</v>
      </c>
      <c r="G662" s="29" t="str">
        <f t="shared" si="84"/>
        <v>July</v>
      </c>
      <c r="H662" s="30">
        <v>183044</v>
      </c>
      <c r="I662" s="30">
        <v>9780</v>
      </c>
      <c r="J662" s="31">
        <v>2113</v>
      </c>
      <c r="K662" s="31">
        <v>1094</v>
      </c>
      <c r="L662" s="31">
        <v>518</v>
      </c>
      <c r="M662" s="32">
        <v>149648.03</v>
      </c>
      <c r="N662" s="32">
        <v>2135225.13</v>
      </c>
      <c r="O662" s="33">
        <f t="shared" si="87"/>
        <v>5.34</v>
      </c>
      <c r="P662" s="34">
        <f t="shared" si="85"/>
        <v>70.8225414103171</v>
      </c>
      <c r="Q662" s="35">
        <f t="shared" si="86"/>
        <v>14.2683143239507</v>
      </c>
      <c r="R662" s="35">
        <f t="shared" si="80"/>
        <v>15.3014345603272</v>
      </c>
      <c r="S662" s="33">
        <f t="shared" si="81"/>
        <v>817.55</v>
      </c>
      <c r="T662" s="36">
        <f t="shared" si="82"/>
        <v>1326.83</v>
      </c>
    </row>
    <row r="663" spans="1:20">
      <c r="A663" s="37">
        <v>45860</v>
      </c>
      <c r="B663" s="38" t="s">
        <v>1128</v>
      </c>
      <c r="C663" s="38" t="s">
        <v>1129</v>
      </c>
      <c r="D663" s="38" t="s">
        <v>1130</v>
      </c>
      <c r="E663" s="38" t="s">
        <v>1574</v>
      </c>
      <c r="F663" s="38">
        <f t="shared" si="83"/>
        <v>2025</v>
      </c>
      <c r="G663" s="38" t="str">
        <f t="shared" si="84"/>
        <v>July</v>
      </c>
      <c r="H663" s="30">
        <v>295519</v>
      </c>
      <c r="I663" s="30">
        <v>20154</v>
      </c>
      <c r="J663" s="39">
        <v>3461</v>
      </c>
      <c r="K663" s="39">
        <v>1995</v>
      </c>
      <c r="L663" s="39">
        <v>1138</v>
      </c>
      <c r="M663" s="40">
        <v>221471.19</v>
      </c>
      <c r="N663" s="40">
        <v>8555769.92</v>
      </c>
      <c r="O663" s="33">
        <f t="shared" si="87"/>
        <v>6.82</v>
      </c>
      <c r="P663" s="34">
        <f t="shared" si="85"/>
        <v>63.9905200809015</v>
      </c>
      <c r="Q663" s="35">
        <f t="shared" si="86"/>
        <v>38.6315254819374</v>
      </c>
      <c r="R663" s="35">
        <f t="shared" si="80"/>
        <v>10.9889446263769</v>
      </c>
      <c r="S663" s="33">
        <f t="shared" si="81"/>
        <v>749.43</v>
      </c>
      <c r="T663" s="36">
        <f t="shared" si="82"/>
        <v>3763.15</v>
      </c>
    </row>
    <row r="664" spans="1:20">
      <c r="A664" s="28">
        <v>45861</v>
      </c>
      <c r="B664" s="29" t="s">
        <v>1128</v>
      </c>
      <c r="C664" s="29" t="s">
        <v>1129</v>
      </c>
      <c r="D664" s="29" t="s">
        <v>1130</v>
      </c>
      <c r="E664" s="29" t="s">
        <v>1574</v>
      </c>
      <c r="F664" s="29">
        <f t="shared" si="83"/>
        <v>2025</v>
      </c>
      <c r="G664" s="29" t="str">
        <f t="shared" si="84"/>
        <v>July</v>
      </c>
      <c r="H664" s="30">
        <v>102281</v>
      </c>
      <c r="I664" s="30">
        <v>7277</v>
      </c>
      <c r="J664" s="31">
        <v>1524</v>
      </c>
      <c r="K664" s="31">
        <v>814</v>
      </c>
      <c r="L664" s="31">
        <v>398</v>
      </c>
      <c r="M664" s="32">
        <v>41674.82</v>
      </c>
      <c r="N664" s="32">
        <v>2247547.73</v>
      </c>
      <c r="O664" s="33">
        <f t="shared" si="87"/>
        <v>7.11</v>
      </c>
      <c r="P664" s="34">
        <f t="shared" si="85"/>
        <v>27.3456824146982</v>
      </c>
      <c r="Q664" s="35">
        <f t="shared" si="86"/>
        <v>53.9305923816828</v>
      </c>
      <c r="R664" s="35">
        <f t="shared" si="80"/>
        <v>5.7269231826302</v>
      </c>
      <c r="S664" s="33">
        <f t="shared" si="81"/>
        <v>407.45</v>
      </c>
      <c r="T664" s="36">
        <f t="shared" si="82"/>
        <v>5293.06</v>
      </c>
    </row>
    <row r="665" spans="1:20">
      <c r="A665" s="37">
        <v>45862</v>
      </c>
      <c r="B665" s="38" t="s">
        <v>1128</v>
      </c>
      <c r="C665" s="38" t="s">
        <v>1129</v>
      </c>
      <c r="D665" s="38" t="s">
        <v>1130</v>
      </c>
      <c r="E665" s="38" t="s">
        <v>1574</v>
      </c>
      <c r="F665" s="38">
        <f t="shared" si="83"/>
        <v>2025</v>
      </c>
      <c r="G665" s="38" t="str">
        <f t="shared" si="84"/>
        <v>July</v>
      </c>
      <c r="H665" s="30">
        <v>69228</v>
      </c>
      <c r="I665" s="30">
        <v>2248</v>
      </c>
      <c r="J665" s="39">
        <v>378</v>
      </c>
      <c r="K665" s="39">
        <v>231</v>
      </c>
      <c r="L665" s="39">
        <v>127</v>
      </c>
      <c r="M665" s="40">
        <v>47888.71</v>
      </c>
      <c r="N665" s="40">
        <v>980730.14</v>
      </c>
      <c r="O665" s="33">
        <f t="shared" si="87"/>
        <v>3.25</v>
      </c>
      <c r="P665" s="34">
        <f t="shared" si="85"/>
        <v>126.689708994709</v>
      </c>
      <c r="Q665" s="35">
        <f t="shared" si="86"/>
        <v>20.4793601665194</v>
      </c>
      <c r="R665" s="35">
        <f t="shared" si="80"/>
        <v>21.3028069395018</v>
      </c>
      <c r="S665" s="33">
        <f t="shared" si="81"/>
        <v>691.75</v>
      </c>
      <c r="T665" s="36">
        <f t="shared" si="82"/>
        <v>1947.94</v>
      </c>
    </row>
    <row r="666" spans="1:20">
      <c r="A666" s="28">
        <v>45863</v>
      </c>
      <c r="B666" s="29" t="s">
        <v>1128</v>
      </c>
      <c r="C666" s="29" t="s">
        <v>1129</v>
      </c>
      <c r="D666" s="29" t="s">
        <v>1130</v>
      </c>
      <c r="E666" s="29" t="s">
        <v>1574</v>
      </c>
      <c r="F666" s="29">
        <f t="shared" si="83"/>
        <v>2025</v>
      </c>
      <c r="G666" s="29" t="str">
        <f t="shared" si="84"/>
        <v>July</v>
      </c>
      <c r="H666" s="30">
        <v>195078</v>
      </c>
      <c r="I666" s="30">
        <v>11378</v>
      </c>
      <c r="J666" s="31">
        <v>2824</v>
      </c>
      <c r="K666" s="31">
        <v>1362</v>
      </c>
      <c r="L666" s="31">
        <v>720</v>
      </c>
      <c r="M666" s="32">
        <v>101190.07</v>
      </c>
      <c r="N666" s="32">
        <v>4473021.84</v>
      </c>
      <c r="O666" s="33">
        <f t="shared" si="87"/>
        <v>5.83</v>
      </c>
      <c r="P666" s="34">
        <f t="shared" si="85"/>
        <v>35.8321777620397</v>
      </c>
      <c r="Q666" s="35">
        <f t="shared" si="86"/>
        <v>44.2041579771612</v>
      </c>
      <c r="R666" s="35">
        <f t="shared" si="80"/>
        <v>8.89348479521884</v>
      </c>
      <c r="S666" s="33">
        <f t="shared" si="81"/>
        <v>518.72</v>
      </c>
      <c r="T666" s="36">
        <f t="shared" si="82"/>
        <v>4320.42</v>
      </c>
    </row>
    <row r="667" spans="1:20">
      <c r="A667" s="37">
        <v>45864</v>
      </c>
      <c r="B667" s="38" t="s">
        <v>1128</v>
      </c>
      <c r="C667" s="38" t="s">
        <v>1129</v>
      </c>
      <c r="D667" s="38" t="s">
        <v>1130</v>
      </c>
      <c r="E667" s="38" t="s">
        <v>1574</v>
      </c>
      <c r="F667" s="38">
        <f t="shared" si="83"/>
        <v>2025</v>
      </c>
      <c r="G667" s="38" t="str">
        <f t="shared" si="84"/>
        <v>July</v>
      </c>
      <c r="H667" s="30">
        <v>98148</v>
      </c>
      <c r="I667" s="30">
        <v>6924</v>
      </c>
      <c r="J667" s="39">
        <v>1556</v>
      </c>
      <c r="K667" s="39">
        <v>839</v>
      </c>
      <c r="L667" s="39">
        <v>415</v>
      </c>
      <c r="M667" s="40">
        <v>82010.11</v>
      </c>
      <c r="N667" s="40">
        <v>2689713.42</v>
      </c>
      <c r="O667" s="33">
        <f t="shared" si="87"/>
        <v>7.05</v>
      </c>
      <c r="P667" s="34">
        <f t="shared" si="85"/>
        <v>52.7057262210797</v>
      </c>
      <c r="Q667" s="35">
        <f t="shared" si="86"/>
        <v>32.797339498752</v>
      </c>
      <c r="R667" s="35">
        <f t="shared" si="80"/>
        <v>11.8443255343732</v>
      </c>
      <c r="S667" s="33">
        <f t="shared" si="81"/>
        <v>835.58</v>
      </c>
      <c r="T667" s="36">
        <f t="shared" si="82"/>
        <v>3179.73</v>
      </c>
    </row>
    <row r="668" spans="1:20">
      <c r="A668" s="28">
        <v>45865</v>
      </c>
      <c r="B668" s="29" t="s">
        <v>1128</v>
      </c>
      <c r="C668" s="29" t="s">
        <v>1129</v>
      </c>
      <c r="D668" s="29" t="s">
        <v>1130</v>
      </c>
      <c r="E668" s="29" t="s">
        <v>1574</v>
      </c>
      <c r="F668" s="29">
        <f t="shared" si="83"/>
        <v>2025</v>
      </c>
      <c r="G668" s="29" t="str">
        <f t="shared" si="84"/>
        <v>July</v>
      </c>
      <c r="H668" s="30">
        <v>288669</v>
      </c>
      <c r="I668" s="30">
        <v>16685</v>
      </c>
      <c r="J668" s="31">
        <v>2685</v>
      </c>
      <c r="K668" s="31">
        <v>1692</v>
      </c>
      <c r="L668" s="31">
        <v>697</v>
      </c>
      <c r="M668" s="32">
        <v>197363.38</v>
      </c>
      <c r="N668" s="32">
        <v>2266273.4</v>
      </c>
      <c r="O668" s="33">
        <f t="shared" si="87"/>
        <v>5.78</v>
      </c>
      <c r="P668" s="34">
        <f t="shared" si="85"/>
        <v>73.5059143389199</v>
      </c>
      <c r="Q668" s="35">
        <f t="shared" si="86"/>
        <v>11.4827451779555</v>
      </c>
      <c r="R668" s="35">
        <f t="shared" si="80"/>
        <v>11.8287911297573</v>
      </c>
      <c r="S668" s="33">
        <f t="shared" si="81"/>
        <v>683.7</v>
      </c>
      <c r="T668" s="36">
        <f t="shared" si="82"/>
        <v>1048.27</v>
      </c>
    </row>
    <row r="669" spans="1:20">
      <c r="A669" s="37">
        <v>45866</v>
      </c>
      <c r="B669" s="38" t="s">
        <v>1128</v>
      </c>
      <c r="C669" s="38" t="s">
        <v>1129</v>
      </c>
      <c r="D669" s="38" t="s">
        <v>1130</v>
      </c>
      <c r="E669" s="38" t="s">
        <v>1574</v>
      </c>
      <c r="F669" s="38">
        <f t="shared" si="83"/>
        <v>2025</v>
      </c>
      <c r="G669" s="38" t="str">
        <f t="shared" si="84"/>
        <v>July</v>
      </c>
      <c r="H669" s="30">
        <v>228940</v>
      </c>
      <c r="I669" s="30">
        <v>7307</v>
      </c>
      <c r="J669" s="39">
        <v>1297</v>
      </c>
      <c r="K669" s="39">
        <v>812</v>
      </c>
      <c r="L669" s="39">
        <v>445</v>
      </c>
      <c r="M669" s="40">
        <v>100965.24</v>
      </c>
      <c r="N669" s="40">
        <v>1835902.46</v>
      </c>
      <c r="O669" s="33">
        <f t="shared" si="87"/>
        <v>3.19</v>
      </c>
      <c r="P669" s="34">
        <f t="shared" si="85"/>
        <v>77.8452120277564</v>
      </c>
      <c r="Q669" s="35">
        <f t="shared" si="86"/>
        <v>18.183510087234</v>
      </c>
      <c r="R669" s="35">
        <f t="shared" si="80"/>
        <v>13.8176050362666</v>
      </c>
      <c r="S669" s="33">
        <f t="shared" si="81"/>
        <v>441.01</v>
      </c>
      <c r="T669" s="36">
        <f t="shared" si="82"/>
        <v>1718.35</v>
      </c>
    </row>
    <row r="670" spans="1:20">
      <c r="A670" s="28">
        <v>45867</v>
      </c>
      <c r="B670" s="29" t="s">
        <v>1128</v>
      </c>
      <c r="C670" s="29" t="s">
        <v>1129</v>
      </c>
      <c r="D670" s="29" t="s">
        <v>1130</v>
      </c>
      <c r="E670" s="29" t="s">
        <v>1574</v>
      </c>
      <c r="F670" s="29">
        <f t="shared" si="83"/>
        <v>2025</v>
      </c>
      <c r="G670" s="29" t="str">
        <f t="shared" si="84"/>
        <v>July</v>
      </c>
      <c r="H670" s="30">
        <v>103373</v>
      </c>
      <c r="I670" s="30">
        <v>6280</v>
      </c>
      <c r="J670" s="31">
        <v>1324</v>
      </c>
      <c r="K670" s="31">
        <v>665</v>
      </c>
      <c r="L670" s="31">
        <v>319</v>
      </c>
      <c r="M670" s="32">
        <v>91234.94</v>
      </c>
      <c r="N670" s="32">
        <v>1337659.86</v>
      </c>
      <c r="O670" s="33">
        <f t="shared" si="87"/>
        <v>6.08</v>
      </c>
      <c r="P670" s="34">
        <f t="shared" si="85"/>
        <v>68.9085649546828</v>
      </c>
      <c r="Q670" s="35">
        <f t="shared" si="86"/>
        <v>14.6617059209991</v>
      </c>
      <c r="R670" s="35">
        <f t="shared" si="80"/>
        <v>14.5278566878981</v>
      </c>
      <c r="S670" s="33">
        <f t="shared" si="81"/>
        <v>882.58</v>
      </c>
      <c r="T670" s="36">
        <f t="shared" si="82"/>
        <v>1366.17</v>
      </c>
    </row>
    <row r="671" spans="1:20">
      <c r="A671" s="37">
        <v>45868</v>
      </c>
      <c r="B671" s="38" t="s">
        <v>1128</v>
      </c>
      <c r="C671" s="38" t="s">
        <v>1129</v>
      </c>
      <c r="D671" s="38" t="s">
        <v>1130</v>
      </c>
      <c r="E671" s="38" t="s">
        <v>1574</v>
      </c>
      <c r="F671" s="38">
        <f t="shared" si="83"/>
        <v>2025</v>
      </c>
      <c r="G671" s="38" t="str">
        <f t="shared" si="84"/>
        <v>July</v>
      </c>
      <c r="H671" s="30">
        <v>183663</v>
      </c>
      <c r="I671" s="30">
        <v>7335</v>
      </c>
      <c r="J671" s="39">
        <v>1401</v>
      </c>
      <c r="K671" s="39">
        <v>843</v>
      </c>
      <c r="L671" s="39">
        <v>357</v>
      </c>
      <c r="M671" s="40">
        <v>159534.43</v>
      </c>
      <c r="N671" s="40">
        <v>2405412.18</v>
      </c>
      <c r="O671" s="33">
        <f t="shared" si="87"/>
        <v>3.99</v>
      </c>
      <c r="P671" s="34">
        <f t="shared" si="85"/>
        <v>113.871827266238</v>
      </c>
      <c r="Q671" s="35">
        <f t="shared" si="86"/>
        <v>15.0776994031947</v>
      </c>
      <c r="R671" s="35">
        <f t="shared" si="80"/>
        <v>21.749751874574</v>
      </c>
      <c r="S671" s="33">
        <f t="shared" si="81"/>
        <v>868.63</v>
      </c>
      <c r="T671" s="36">
        <f t="shared" si="82"/>
        <v>1407.77</v>
      </c>
    </row>
    <row r="672" spans="1:20">
      <c r="A672" s="28">
        <v>45869</v>
      </c>
      <c r="B672" s="29" t="s">
        <v>1128</v>
      </c>
      <c r="C672" s="29" t="s">
        <v>1129</v>
      </c>
      <c r="D672" s="29" t="s">
        <v>1130</v>
      </c>
      <c r="E672" s="29" t="s">
        <v>1574</v>
      </c>
      <c r="F672" s="29">
        <f t="shared" si="83"/>
        <v>2025</v>
      </c>
      <c r="G672" s="29" t="str">
        <f t="shared" si="84"/>
        <v>July</v>
      </c>
      <c r="H672" s="30">
        <v>125289</v>
      </c>
      <c r="I672" s="30">
        <v>5916</v>
      </c>
      <c r="J672" s="31">
        <v>1354</v>
      </c>
      <c r="K672" s="31">
        <v>610</v>
      </c>
      <c r="L672" s="31">
        <v>295</v>
      </c>
      <c r="M672" s="32">
        <v>81381.38</v>
      </c>
      <c r="N672" s="32">
        <v>2009705.99</v>
      </c>
      <c r="O672" s="33">
        <f t="shared" si="87"/>
        <v>4.72</v>
      </c>
      <c r="P672" s="34">
        <f t="shared" si="85"/>
        <v>60.1044165435746</v>
      </c>
      <c r="Q672" s="35">
        <f t="shared" si="86"/>
        <v>24.694911661611</v>
      </c>
      <c r="R672" s="35">
        <f t="shared" si="80"/>
        <v>13.7561494252874</v>
      </c>
      <c r="S672" s="33">
        <f t="shared" si="81"/>
        <v>649.55</v>
      </c>
      <c r="T672" s="36">
        <f t="shared" si="82"/>
        <v>2369.49</v>
      </c>
    </row>
    <row r="673" spans="1:20">
      <c r="A673" s="37">
        <v>45665</v>
      </c>
      <c r="B673" s="38" t="s">
        <v>1128</v>
      </c>
      <c r="C673" s="38" t="s">
        <v>1129</v>
      </c>
      <c r="D673" s="38" t="s">
        <v>1130</v>
      </c>
      <c r="E673" s="38" t="s">
        <v>1574</v>
      </c>
      <c r="F673" s="38">
        <f t="shared" si="83"/>
        <v>2025</v>
      </c>
      <c r="G673" s="38" t="str">
        <f t="shared" si="84"/>
        <v>January</v>
      </c>
      <c r="H673" s="30">
        <v>82289</v>
      </c>
      <c r="I673" s="30">
        <v>2865</v>
      </c>
      <c r="J673" s="39">
        <v>627</v>
      </c>
      <c r="K673" s="39">
        <v>344</v>
      </c>
      <c r="L673" s="39">
        <v>153</v>
      </c>
      <c r="M673" s="40">
        <v>72603.02</v>
      </c>
      <c r="N673" s="40">
        <v>791070.5</v>
      </c>
      <c r="O673" s="33">
        <f t="shared" si="87"/>
        <v>3.48</v>
      </c>
      <c r="P673" s="34">
        <f t="shared" si="85"/>
        <v>115.794290271132</v>
      </c>
      <c r="Q673" s="35">
        <f t="shared" si="86"/>
        <v>10.8958346360799</v>
      </c>
      <c r="R673" s="35">
        <f t="shared" si="80"/>
        <v>25.3413682373473</v>
      </c>
      <c r="S673" s="33">
        <f t="shared" si="81"/>
        <v>882.29</v>
      </c>
      <c r="T673" s="36">
        <f t="shared" si="82"/>
        <v>989.58</v>
      </c>
    </row>
    <row r="674" spans="1:20">
      <c r="A674" s="28">
        <v>45696</v>
      </c>
      <c r="B674" s="29" t="s">
        <v>1128</v>
      </c>
      <c r="C674" s="29" t="s">
        <v>1129</v>
      </c>
      <c r="D674" s="29" t="s">
        <v>1130</v>
      </c>
      <c r="E674" s="29" t="s">
        <v>1574</v>
      </c>
      <c r="F674" s="29">
        <f t="shared" si="83"/>
        <v>2025</v>
      </c>
      <c r="G674" s="29" t="str">
        <f t="shared" si="84"/>
        <v>February</v>
      </c>
      <c r="H674" s="30">
        <v>122204</v>
      </c>
      <c r="I674" s="30">
        <v>4702</v>
      </c>
      <c r="J674" s="31">
        <v>1151</v>
      </c>
      <c r="K674" s="31">
        <v>571</v>
      </c>
      <c r="L674" s="31">
        <v>334</v>
      </c>
      <c r="M674" s="32">
        <v>64654.83</v>
      </c>
      <c r="N674" s="32">
        <v>1107200.51</v>
      </c>
      <c r="O674" s="33">
        <f t="shared" si="87"/>
        <v>3.85</v>
      </c>
      <c r="P674" s="34">
        <f t="shared" si="85"/>
        <v>56.1727454387489</v>
      </c>
      <c r="Q674" s="35">
        <f t="shared" si="86"/>
        <v>17.1247919142313</v>
      </c>
      <c r="R674" s="35">
        <f t="shared" si="80"/>
        <v>13.7504955338154</v>
      </c>
      <c r="S674" s="33">
        <f t="shared" si="81"/>
        <v>529.07</v>
      </c>
      <c r="T674" s="36">
        <f t="shared" si="82"/>
        <v>1612.48</v>
      </c>
    </row>
    <row r="675" spans="1:20">
      <c r="A675" s="37">
        <v>45724</v>
      </c>
      <c r="B675" s="38" t="s">
        <v>1128</v>
      </c>
      <c r="C675" s="38" t="s">
        <v>1129</v>
      </c>
      <c r="D675" s="38" t="s">
        <v>1130</v>
      </c>
      <c r="E675" s="38" t="s">
        <v>1574</v>
      </c>
      <c r="F675" s="38">
        <f t="shared" si="83"/>
        <v>2025</v>
      </c>
      <c r="G675" s="38" t="str">
        <f t="shared" si="84"/>
        <v>March</v>
      </c>
      <c r="H675" s="30">
        <v>282568</v>
      </c>
      <c r="I675" s="30">
        <v>20991</v>
      </c>
      <c r="J675" s="39">
        <v>3160</v>
      </c>
      <c r="K675" s="39">
        <v>1720</v>
      </c>
      <c r="L675" s="39">
        <v>1027</v>
      </c>
      <c r="M675" s="40">
        <v>254928.95</v>
      </c>
      <c r="N675" s="40">
        <v>4693041.45</v>
      </c>
      <c r="O675" s="33">
        <f t="shared" si="87"/>
        <v>7.43</v>
      </c>
      <c r="P675" s="34">
        <f t="shared" si="85"/>
        <v>80.6737183544304</v>
      </c>
      <c r="Q675" s="35">
        <f t="shared" si="86"/>
        <v>18.4092134298596</v>
      </c>
      <c r="R675" s="35">
        <f t="shared" si="80"/>
        <v>12.1446786718117</v>
      </c>
      <c r="S675" s="33">
        <f t="shared" si="81"/>
        <v>902.19</v>
      </c>
      <c r="T675" s="36">
        <f t="shared" si="82"/>
        <v>1740.92</v>
      </c>
    </row>
    <row r="676" spans="1:20">
      <c r="A676" s="28">
        <v>45755</v>
      </c>
      <c r="B676" s="29" t="s">
        <v>1128</v>
      </c>
      <c r="C676" s="29" t="s">
        <v>1129</v>
      </c>
      <c r="D676" s="29" t="s">
        <v>1130</v>
      </c>
      <c r="E676" s="29" t="s">
        <v>1574</v>
      </c>
      <c r="F676" s="29">
        <f t="shared" si="83"/>
        <v>2025</v>
      </c>
      <c r="G676" s="29" t="str">
        <f t="shared" si="84"/>
        <v>April</v>
      </c>
      <c r="H676" s="30">
        <v>276741</v>
      </c>
      <c r="I676" s="30">
        <v>8329</v>
      </c>
      <c r="J676" s="31">
        <v>2013</v>
      </c>
      <c r="K676" s="31">
        <v>1048</v>
      </c>
      <c r="L676" s="31">
        <v>550</v>
      </c>
      <c r="M676" s="32">
        <v>241422.3</v>
      </c>
      <c r="N676" s="32">
        <v>3218248.07</v>
      </c>
      <c r="O676" s="33">
        <f t="shared" si="87"/>
        <v>3.01</v>
      </c>
      <c r="P676" s="34">
        <f t="shared" si="85"/>
        <v>119.931594634873</v>
      </c>
      <c r="Q676" s="35">
        <f t="shared" si="86"/>
        <v>13.3303678657688</v>
      </c>
      <c r="R676" s="35">
        <f t="shared" si="80"/>
        <v>28.9857485892664</v>
      </c>
      <c r="S676" s="33">
        <f t="shared" si="81"/>
        <v>872.38</v>
      </c>
      <c r="T676" s="36">
        <f t="shared" si="82"/>
        <v>1233.04</v>
      </c>
    </row>
    <row r="677" spans="1:20">
      <c r="A677" s="37">
        <v>45785</v>
      </c>
      <c r="B677" s="38" t="s">
        <v>1128</v>
      </c>
      <c r="C677" s="38" t="s">
        <v>1129</v>
      </c>
      <c r="D677" s="38" t="s">
        <v>1130</v>
      </c>
      <c r="E677" s="38" t="s">
        <v>1574</v>
      </c>
      <c r="F677" s="38">
        <f t="shared" si="83"/>
        <v>2025</v>
      </c>
      <c r="G677" s="38" t="str">
        <f t="shared" si="84"/>
        <v>May</v>
      </c>
      <c r="H677" s="30">
        <v>276190</v>
      </c>
      <c r="I677" s="30">
        <v>8837</v>
      </c>
      <c r="J677" s="39">
        <v>1345</v>
      </c>
      <c r="K677" s="39">
        <v>850</v>
      </c>
      <c r="L677" s="39">
        <v>400</v>
      </c>
      <c r="M677" s="40">
        <v>258734.91</v>
      </c>
      <c r="N677" s="40">
        <v>1603909.43</v>
      </c>
      <c r="O677" s="33">
        <f t="shared" si="87"/>
        <v>3.2</v>
      </c>
      <c r="P677" s="34">
        <f t="shared" si="85"/>
        <v>192.367962825279</v>
      </c>
      <c r="Q677" s="35">
        <f t="shared" si="86"/>
        <v>6.19904530857471</v>
      </c>
      <c r="R677" s="35">
        <f t="shared" ref="R677:R740" si="88">(M677/I677)</f>
        <v>29.278591150843</v>
      </c>
      <c r="S677" s="33">
        <f t="shared" si="81"/>
        <v>936.8</v>
      </c>
      <c r="T677" s="36">
        <f t="shared" si="82"/>
        <v>519.9</v>
      </c>
    </row>
    <row r="678" spans="1:20">
      <c r="A678" s="28">
        <v>45816</v>
      </c>
      <c r="B678" s="29" t="s">
        <v>1128</v>
      </c>
      <c r="C678" s="29" t="s">
        <v>1129</v>
      </c>
      <c r="D678" s="29" t="s">
        <v>1130</v>
      </c>
      <c r="E678" s="29" t="s">
        <v>1574</v>
      </c>
      <c r="F678" s="29">
        <f t="shared" si="83"/>
        <v>2025</v>
      </c>
      <c r="G678" s="29" t="str">
        <f t="shared" si="84"/>
        <v>June</v>
      </c>
      <c r="H678" s="30">
        <v>157823</v>
      </c>
      <c r="I678" s="30">
        <v>7462</v>
      </c>
      <c r="J678" s="31">
        <v>1653</v>
      </c>
      <c r="K678" s="31">
        <v>1051</v>
      </c>
      <c r="L678" s="31">
        <v>551</v>
      </c>
      <c r="M678" s="32">
        <v>152142.2</v>
      </c>
      <c r="N678" s="32">
        <v>2267468.26</v>
      </c>
      <c r="O678" s="33">
        <f t="shared" si="87"/>
        <v>4.73</v>
      </c>
      <c r="P678" s="34">
        <f t="shared" si="85"/>
        <v>92.0400483968542</v>
      </c>
      <c r="Q678" s="35">
        <f t="shared" si="86"/>
        <v>14.9036116212333</v>
      </c>
      <c r="R678" s="35">
        <f t="shared" si="88"/>
        <v>20.3889305816135</v>
      </c>
      <c r="S678" s="33">
        <f t="shared" si="81"/>
        <v>964.01</v>
      </c>
      <c r="T678" s="36">
        <f t="shared" si="82"/>
        <v>1390.36</v>
      </c>
    </row>
    <row r="679" spans="1:20">
      <c r="A679" s="37">
        <v>45846</v>
      </c>
      <c r="B679" s="38" t="s">
        <v>1128</v>
      </c>
      <c r="C679" s="38" t="s">
        <v>1129</v>
      </c>
      <c r="D679" s="38" t="s">
        <v>1130</v>
      </c>
      <c r="E679" s="38" t="s">
        <v>1574</v>
      </c>
      <c r="F679" s="38">
        <f t="shared" si="83"/>
        <v>2025</v>
      </c>
      <c r="G679" s="38" t="str">
        <f t="shared" si="84"/>
        <v>July</v>
      </c>
      <c r="H679" s="30">
        <v>168164</v>
      </c>
      <c r="I679" s="30">
        <v>12919</v>
      </c>
      <c r="J679" s="39">
        <v>3045</v>
      </c>
      <c r="K679" s="39">
        <v>1753</v>
      </c>
      <c r="L679" s="39">
        <v>778</v>
      </c>
      <c r="M679" s="40">
        <v>141390.11</v>
      </c>
      <c r="N679" s="40">
        <v>3060297.73</v>
      </c>
      <c r="O679" s="33">
        <f t="shared" si="87"/>
        <v>7.68</v>
      </c>
      <c r="P679" s="34">
        <f t="shared" si="85"/>
        <v>46.4335336617406</v>
      </c>
      <c r="Q679" s="35">
        <f t="shared" si="86"/>
        <v>21.6443549693822</v>
      </c>
      <c r="R679" s="35">
        <f t="shared" si="88"/>
        <v>10.9443540521712</v>
      </c>
      <c r="S679" s="33">
        <f t="shared" si="81"/>
        <v>840.79</v>
      </c>
      <c r="T679" s="36">
        <f t="shared" si="82"/>
        <v>2064.44</v>
      </c>
    </row>
    <row r="680" spans="1:20">
      <c r="A680" s="28">
        <v>45877</v>
      </c>
      <c r="B680" s="29" t="s">
        <v>1128</v>
      </c>
      <c r="C680" s="29" t="s">
        <v>1129</v>
      </c>
      <c r="D680" s="29" t="s">
        <v>1130</v>
      </c>
      <c r="E680" s="29" t="s">
        <v>1574</v>
      </c>
      <c r="F680" s="29">
        <f t="shared" si="83"/>
        <v>2025</v>
      </c>
      <c r="G680" s="29" t="str">
        <f t="shared" si="84"/>
        <v>August</v>
      </c>
      <c r="H680" s="30">
        <v>196818</v>
      </c>
      <c r="I680" s="30">
        <v>10477</v>
      </c>
      <c r="J680" s="31">
        <v>1940</v>
      </c>
      <c r="K680" s="31">
        <v>1106</v>
      </c>
      <c r="L680" s="31">
        <v>531</v>
      </c>
      <c r="M680" s="32">
        <v>148549.07</v>
      </c>
      <c r="N680" s="32">
        <v>4182575.02</v>
      </c>
      <c r="O680" s="33">
        <f t="shared" si="87"/>
        <v>5.32</v>
      </c>
      <c r="P680" s="34">
        <f t="shared" si="85"/>
        <v>76.5716855670103</v>
      </c>
      <c r="Q680" s="35">
        <f t="shared" si="86"/>
        <v>28.1561844850325</v>
      </c>
      <c r="R680" s="35">
        <f t="shared" si="88"/>
        <v>14.1785883363558</v>
      </c>
      <c r="S680" s="33">
        <f t="shared" si="81"/>
        <v>754.75</v>
      </c>
      <c r="T680" s="36">
        <f t="shared" si="82"/>
        <v>2715.62</v>
      </c>
    </row>
    <row r="681" spans="1:20">
      <c r="A681" s="37">
        <v>45908</v>
      </c>
      <c r="B681" s="38" t="s">
        <v>1128</v>
      </c>
      <c r="C681" s="38" t="s">
        <v>1129</v>
      </c>
      <c r="D681" s="38" t="s">
        <v>1130</v>
      </c>
      <c r="E681" s="38" t="s">
        <v>1574</v>
      </c>
      <c r="F681" s="38">
        <f t="shared" si="83"/>
        <v>2025</v>
      </c>
      <c r="G681" s="38" t="str">
        <f t="shared" si="84"/>
        <v>September</v>
      </c>
      <c r="H681" s="30">
        <v>87549</v>
      </c>
      <c r="I681" s="30">
        <v>4272</v>
      </c>
      <c r="J681" s="39">
        <v>877</v>
      </c>
      <c r="K681" s="39">
        <v>466</v>
      </c>
      <c r="L681" s="39">
        <v>259</v>
      </c>
      <c r="M681" s="40">
        <v>55978.68</v>
      </c>
      <c r="N681" s="40">
        <v>1264912.83</v>
      </c>
      <c r="O681" s="33">
        <f t="shared" si="87"/>
        <v>4.88</v>
      </c>
      <c r="P681" s="34">
        <f t="shared" si="85"/>
        <v>63.8297377423033</v>
      </c>
      <c r="Q681" s="35">
        <f t="shared" si="86"/>
        <v>22.5963318534842</v>
      </c>
      <c r="R681" s="35">
        <f t="shared" si="88"/>
        <v>13.1036235955056</v>
      </c>
      <c r="S681" s="33">
        <f t="shared" ref="S681:S744" si="89">ROUND(M681/H681*1000,2)</f>
        <v>639.4</v>
      </c>
      <c r="T681" s="36">
        <f t="shared" si="82"/>
        <v>2159.63</v>
      </c>
    </row>
    <row r="682" spans="1:20">
      <c r="A682" s="28">
        <v>45938</v>
      </c>
      <c r="B682" s="29" t="s">
        <v>1128</v>
      </c>
      <c r="C682" s="29" t="s">
        <v>1129</v>
      </c>
      <c r="D682" s="29" t="s">
        <v>1130</v>
      </c>
      <c r="E682" s="29" t="s">
        <v>1574</v>
      </c>
      <c r="F682" s="29">
        <f t="shared" si="83"/>
        <v>2025</v>
      </c>
      <c r="G682" s="29" t="str">
        <f t="shared" si="84"/>
        <v>October</v>
      </c>
      <c r="H682" s="30">
        <v>209975</v>
      </c>
      <c r="I682" s="30">
        <v>7033</v>
      </c>
      <c r="J682" s="31">
        <v>1633</v>
      </c>
      <c r="K682" s="31">
        <v>987</v>
      </c>
      <c r="L682" s="31">
        <v>489</v>
      </c>
      <c r="M682" s="32">
        <v>104015.44</v>
      </c>
      <c r="N682" s="32">
        <v>3787589.47</v>
      </c>
      <c r="O682" s="33">
        <f t="shared" si="87"/>
        <v>3.35</v>
      </c>
      <c r="P682" s="34">
        <f t="shared" si="85"/>
        <v>63.6959216166565</v>
      </c>
      <c r="Q682" s="35">
        <f t="shared" si="86"/>
        <v>36.4137234818215</v>
      </c>
      <c r="R682" s="35">
        <f t="shared" si="88"/>
        <v>14.7896260486279</v>
      </c>
      <c r="S682" s="33">
        <f t="shared" si="89"/>
        <v>495.37</v>
      </c>
      <c r="T682" s="36">
        <f t="shared" si="82"/>
        <v>3541.37</v>
      </c>
    </row>
    <row r="683" spans="1:20">
      <c r="A683" s="37">
        <v>45969</v>
      </c>
      <c r="B683" s="38" t="s">
        <v>1128</v>
      </c>
      <c r="C683" s="38" t="s">
        <v>1129</v>
      </c>
      <c r="D683" s="38" t="s">
        <v>1130</v>
      </c>
      <c r="E683" s="38" t="s">
        <v>1574</v>
      </c>
      <c r="F683" s="38">
        <f t="shared" si="83"/>
        <v>2025</v>
      </c>
      <c r="G683" s="38" t="str">
        <f t="shared" si="84"/>
        <v>November</v>
      </c>
      <c r="H683" s="30">
        <v>248579</v>
      </c>
      <c r="I683" s="30">
        <v>16137</v>
      </c>
      <c r="J683" s="39">
        <v>3772</v>
      </c>
      <c r="K683" s="39">
        <v>2122</v>
      </c>
      <c r="L683" s="39">
        <v>1032</v>
      </c>
      <c r="M683" s="40">
        <v>155529.26</v>
      </c>
      <c r="N683" s="40">
        <v>3706021.15</v>
      </c>
      <c r="O683" s="33">
        <f t="shared" si="87"/>
        <v>6.49</v>
      </c>
      <c r="P683" s="34">
        <f t="shared" si="85"/>
        <v>41.2325715800636</v>
      </c>
      <c r="Q683" s="35">
        <f t="shared" si="86"/>
        <v>23.8284497077913</v>
      </c>
      <c r="R683" s="35">
        <f t="shared" si="88"/>
        <v>9.6380529218566</v>
      </c>
      <c r="S683" s="33">
        <f t="shared" si="89"/>
        <v>625.67</v>
      </c>
      <c r="T683" s="36">
        <f t="shared" si="82"/>
        <v>2282.84</v>
      </c>
    </row>
    <row r="684" spans="1:20">
      <c r="A684" s="28">
        <v>45999</v>
      </c>
      <c r="B684" s="29" t="s">
        <v>1128</v>
      </c>
      <c r="C684" s="29" t="s">
        <v>1129</v>
      </c>
      <c r="D684" s="29" t="s">
        <v>1130</v>
      </c>
      <c r="E684" s="29" t="s">
        <v>1574</v>
      </c>
      <c r="F684" s="29">
        <f t="shared" si="83"/>
        <v>2025</v>
      </c>
      <c r="G684" s="29" t="str">
        <f t="shared" si="84"/>
        <v>December</v>
      </c>
      <c r="H684" s="30">
        <v>105929</v>
      </c>
      <c r="I684" s="30">
        <v>6513</v>
      </c>
      <c r="J684" s="31">
        <v>1176</v>
      </c>
      <c r="K684" s="31">
        <v>544</v>
      </c>
      <c r="L684" s="31">
        <v>290</v>
      </c>
      <c r="M684" s="32">
        <v>45471.22</v>
      </c>
      <c r="N684" s="32">
        <v>1842642.34</v>
      </c>
      <c r="O684" s="33">
        <f t="shared" si="87"/>
        <v>6.15</v>
      </c>
      <c r="P684" s="34">
        <f t="shared" si="85"/>
        <v>38.6660034013605</v>
      </c>
      <c r="Q684" s="35">
        <f t="shared" si="86"/>
        <v>40.523265925128</v>
      </c>
      <c r="R684" s="35">
        <f t="shared" si="88"/>
        <v>6.98160908951328</v>
      </c>
      <c r="S684" s="33">
        <f t="shared" si="89"/>
        <v>429.26</v>
      </c>
      <c r="T684" s="36">
        <f t="shared" si="82"/>
        <v>3952.33</v>
      </c>
    </row>
    <row r="685" spans="1:20">
      <c r="A685" s="37">
        <v>45882</v>
      </c>
      <c r="B685" s="38" t="s">
        <v>1128</v>
      </c>
      <c r="C685" s="38" t="s">
        <v>1129</v>
      </c>
      <c r="D685" s="38" t="s">
        <v>1130</v>
      </c>
      <c r="E685" s="38" t="s">
        <v>1574</v>
      </c>
      <c r="F685" s="38">
        <f t="shared" si="83"/>
        <v>2025</v>
      </c>
      <c r="G685" s="38" t="str">
        <f t="shared" si="84"/>
        <v>August</v>
      </c>
      <c r="H685" s="30">
        <v>285906</v>
      </c>
      <c r="I685" s="30">
        <v>22490</v>
      </c>
      <c r="J685" s="39">
        <v>5143</v>
      </c>
      <c r="K685" s="39">
        <v>2920</v>
      </c>
      <c r="L685" s="39">
        <v>1595</v>
      </c>
      <c r="M685" s="40">
        <v>142184.53</v>
      </c>
      <c r="N685" s="40">
        <v>5142498.68</v>
      </c>
      <c r="O685" s="33">
        <f t="shared" si="87"/>
        <v>7.87</v>
      </c>
      <c r="P685" s="34">
        <f t="shared" si="85"/>
        <v>27.646223993778</v>
      </c>
      <c r="Q685" s="35">
        <f t="shared" si="86"/>
        <v>36.1677791529078</v>
      </c>
      <c r="R685" s="35">
        <f t="shared" si="88"/>
        <v>6.32212227656736</v>
      </c>
      <c r="S685" s="33">
        <f t="shared" si="89"/>
        <v>497.31</v>
      </c>
      <c r="T685" s="36">
        <f t="shared" si="82"/>
        <v>3516.78</v>
      </c>
    </row>
    <row r="686" spans="1:20">
      <c r="A686" s="28">
        <v>45883</v>
      </c>
      <c r="B686" s="29" t="s">
        <v>1128</v>
      </c>
      <c r="C686" s="29" t="s">
        <v>1129</v>
      </c>
      <c r="D686" s="29" t="s">
        <v>1130</v>
      </c>
      <c r="E686" s="29" t="s">
        <v>1574</v>
      </c>
      <c r="F686" s="29">
        <f t="shared" si="83"/>
        <v>2025</v>
      </c>
      <c r="G686" s="29" t="str">
        <f t="shared" si="84"/>
        <v>August</v>
      </c>
      <c r="H686" s="30">
        <v>114829</v>
      </c>
      <c r="I686" s="30">
        <v>6699</v>
      </c>
      <c r="J686" s="31">
        <v>1279</v>
      </c>
      <c r="K686" s="31">
        <v>675</v>
      </c>
      <c r="L686" s="31">
        <v>334</v>
      </c>
      <c r="M686" s="32">
        <v>87179.3</v>
      </c>
      <c r="N686" s="32">
        <v>2116901.47</v>
      </c>
      <c r="O686" s="33">
        <f t="shared" si="87"/>
        <v>5.83</v>
      </c>
      <c r="P686" s="34">
        <f t="shared" si="85"/>
        <v>68.1620797498045</v>
      </c>
      <c r="Q686" s="35">
        <f t="shared" si="86"/>
        <v>24.2821572322788</v>
      </c>
      <c r="R686" s="35">
        <f t="shared" si="88"/>
        <v>13.0137781758471</v>
      </c>
      <c r="S686" s="33">
        <f t="shared" si="89"/>
        <v>759.21</v>
      </c>
      <c r="T686" s="36">
        <f t="shared" ref="T686:T749" si="90">ROUND((N686-M686)/M686*100,2)</f>
        <v>2328.22</v>
      </c>
    </row>
    <row r="687" spans="1:20">
      <c r="A687" s="37">
        <v>45884</v>
      </c>
      <c r="B687" s="38" t="s">
        <v>1128</v>
      </c>
      <c r="C687" s="38" t="s">
        <v>1129</v>
      </c>
      <c r="D687" s="38" t="s">
        <v>1130</v>
      </c>
      <c r="E687" s="38" t="s">
        <v>1574</v>
      </c>
      <c r="F687" s="38">
        <f t="shared" si="83"/>
        <v>2025</v>
      </c>
      <c r="G687" s="38" t="str">
        <f t="shared" si="84"/>
        <v>August</v>
      </c>
      <c r="H687" s="30">
        <v>139439</v>
      </c>
      <c r="I687" s="30">
        <v>8820</v>
      </c>
      <c r="J687" s="39">
        <v>2115</v>
      </c>
      <c r="K687" s="39">
        <v>1244</v>
      </c>
      <c r="L687" s="39">
        <v>610</v>
      </c>
      <c r="M687" s="40">
        <v>68482.23</v>
      </c>
      <c r="N687" s="40">
        <v>2965372.21</v>
      </c>
      <c r="O687" s="33">
        <f t="shared" si="87"/>
        <v>6.33</v>
      </c>
      <c r="P687" s="34">
        <f t="shared" si="85"/>
        <v>32.379304964539</v>
      </c>
      <c r="Q687" s="35">
        <f t="shared" si="86"/>
        <v>43.3013383179841</v>
      </c>
      <c r="R687" s="35">
        <f t="shared" si="88"/>
        <v>7.76442517006803</v>
      </c>
      <c r="S687" s="33">
        <f t="shared" si="89"/>
        <v>491.13</v>
      </c>
      <c r="T687" s="36">
        <f t="shared" si="90"/>
        <v>4230.13</v>
      </c>
    </row>
    <row r="688" spans="1:20">
      <c r="A688" s="28">
        <v>45885</v>
      </c>
      <c r="B688" s="29" t="s">
        <v>1128</v>
      </c>
      <c r="C688" s="29" t="s">
        <v>1129</v>
      </c>
      <c r="D688" s="29" t="s">
        <v>1130</v>
      </c>
      <c r="E688" s="29" t="s">
        <v>1574</v>
      </c>
      <c r="F688" s="29">
        <f t="shared" si="83"/>
        <v>2025</v>
      </c>
      <c r="G688" s="29" t="str">
        <f t="shared" si="84"/>
        <v>August</v>
      </c>
      <c r="H688" s="30">
        <v>156143</v>
      </c>
      <c r="I688" s="30">
        <v>12051</v>
      </c>
      <c r="J688" s="31">
        <v>2488</v>
      </c>
      <c r="K688" s="31">
        <v>1574</v>
      </c>
      <c r="L688" s="31">
        <v>776</v>
      </c>
      <c r="M688" s="32">
        <v>67878.95</v>
      </c>
      <c r="N688" s="32">
        <v>6203499.93</v>
      </c>
      <c r="O688" s="33">
        <f t="shared" si="87"/>
        <v>7.72</v>
      </c>
      <c r="P688" s="34">
        <f t="shared" si="85"/>
        <v>27.2825361736334</v>
      </c>
      <c r="Q688" s="35">
        <f t="shared" si="86"/>
        <v>91.3906289063104</v>
      </c>
      <c r="R688" s="35">
        <f t="shared" si="88"/>
        <v>5.63264044477637</v>
      </c>
      <c r="S688" s="33">
        <f t="shared" si="89"/>
        <v>434.72</v>
      </c>
      <c r="T688" s="36">
        <f t="shared" si="90"/>
        <v>9039.06</v>
      </c>
    </row>
    <row r="689" spans="1:20">
      <c r="A689" s="37">
        <v>45886</v>
      </c>
      <c r="B689" s="38" t="s">
        <v>1128</v>
      </c>
      <c r="C689" s="38" t="s">
        <v>1129</v>
      </c>
      <c r="D689" s="38" t="s">
        <v>1130</v>
      </c>
      <c r="E689" s="38" t="s">
        <v>1574</v>
      </c>
      <c r="F689" s="38">
        <f t="shared" si="83"/>
        <v>2025</v>
      </c>
      <c r="G689" s="38" t="str">
        <f t="shared" si="84"/>
        <v>August</v>
      </c>
      <c r="H689" s="30">
        <v>240812</v>
      </c>
      <c r="I689" s="30">
        <v>8480</v>
      </c>
      <c r="J689" s="39">
        <v>1398</v>
      </c>
      <c r="K689" s="39">
        <v>794</v>
      </c>
      <c r="L689" s="39">
        <v>351</v>
      </c>
      <c r="M689" s="40">
        <v>97560.76</v>
      </c>
      <c r="N689" s="40">
        <v>2504594.84</v>
      </c>
      <c r="O689" s="33">
        <f t="shared" si="87"/>
        <v>3.52</v>
      </c>
      <c r="P689" s="34">
        <f t="shared" si="85"/>
        <v>69.7859513590844</v>
      </c>
      <c r="Q689" s="35">
        <f t="shared" si="86"/>
        <v>25.67215384546</v>
      </c>
      <c r="R689" s="35">
        <f t="shared" si="88"/>
        <v>11.5048066037736</v>
      </c>
      <c r="S689" s="33">
        <f t="shared" si="89"/>
        <v>405.13</v>
      </c>
      <c r="T689" s="36">
        <f t="shared" si="90"/>
        <v>2467.22</v>
      </c>
    </row>
    <row r="690" spans="1:20">
      <c r="A690" s="28">
        <v>45887</v>
      </c>
      <c r="B690" s="29" t="s">
        <v>1128</v>
      </c>
      <c r="C690" s="29" t="s">
        <v>1129</v>
      </c>
      <c r="D690" s="29" t="s">
        <v>1130</v>
      </c>
      <c r="E690" s="29" t="s">
        <v>1574</v>
      </c>
      <c r="F690" s="29">
        <f t="shared" si="83"/>
        <v>2025</v>
      </c>
      <c r="G690" s="29" t="str">
        <f t="shared" si="84"/>
        <v>August</v>
      </c>
      <c r="H690" s="30">
        <v>138243</v>
      </c>
      <c r="I690" s="30">
        <v>8910</v>
      </c>
      <c r="J690" s="31">
        <v>1845</v>
      </c>
      <c r="K690" s="31">
        <v>909</v>
      </c>
      <c r="L690" s="31">
        <v>537</v>
      </c>
      <c r="M690" s="32">
        <v>101458.77</v>
      </c>
      <c r="N690" s="32">
        <v>3422258.08</v>
      </c>
      <c r="O690" s="33">
        <f t="shared" si="87"/>
        <v>6.45</v>
      </c>
      <c r="P690" s="34">
        <f t="shared" si="85"/>
        <v>54.9912032520325</v>
      </c>
      <c r="Q690" s="35">
        <f t="shared" si="86"/>
        <v>33.7305299482736</v>
      </c>
      <c r="R690" s="35">
        <f t="shared" si="88"/>
        <v>11.3870673400673</v>
      </c>
      <c r="S690" s="33">
        <f t="shared" si="89"/>
        <v>733.92</v>
      </c>
      <c r="T690" s="36">
        <f t="shared" si="90"/>
        <v>3273.05</v>
      </c>
    </row>
    <row r="691" spans="1:20">
      <c r="A691" s="37">
        <v>45888</v>
      </c>
      <c r="B691" s="38" t="s">
        <v>1128</v>
      </c>
      <c r="C691" s="38" t="s">
        <v>1129</v>
      </c>
      <c r="D691" s="38" t="s">
        <v>1130</v>
      </c>
      <c r="E691" s="38" t="s">
        <v>1574</v>
      </c>
      <c r="F691" s="38">
        <f t="shared" si="83"/>
        <v>2025</v>
      </c>
      <c r="G691" s="38" t="str">
        <f t="shared" si="84"/>
        <v>August</v>
      </c>
      <c r="H691" s="30">
        <v>218087</v>
      </c>
      <c r="I691" s="30">
        <v>9347</v>
      </c>
      <c r="J691" s="39">
        <v>2279</v>
      </c>
      <c r="K691" s="39">
        <v>1102</v>
      </c>
      <c r="L691" s="39">
        <v>475</v>
      </c>
      <c r="M691" s="40">
        <v>204860.79</v>
      </c>
      <c r="N691" s="40">
        <v>2934887.01</v>
      </c>
      <c r="O691" s="33">
        <f t="shared" si="87"/>
        <v>4.29</v>
      </c>
      <c r="P691" s="34">
        <f t="shared" si="85"/>
        <v>89.8906494076349</v>
      </c>
      <c r="Q691" s="35">
        <f t="shared" si="86"/>
        <v>14.3262505724009</v>
      </c>
      <c r="R691" s="35">
        <f t="shared" si="88"/>
        <v>21.917277201241</v>
      </c>
      <c r="S691" s="33">
        <f t="shared" si="89"/>
        <v>939.35</v>
      </c>
      <c r="T691" s="36">
        <f t="shared" si="90"/>
        <v>1332.63</v>
      </c>
    </row>
    <row r="692" spans="1:20">
      <c r="A692" s="28">
        <v>45889</v>
      </c>
      <c r="B692" s="29" t="s">
        <v>1128</v>
      </c>
      <c r="C692" s="29" t="s">
        <v>1129</v>
      </c>
      <c r="D692" s="29" t="s">
        <v>1130</v>
      </c>
      <c r="E692" s="29" t="s">
        <v>1574</v>
      </c>
      <c r="F692" s="29">
        <f t="shared" si="83"/>
        <v>2025</v>
      </c>
      <c r="G692" s="29" t="str">
        <f t="shared" si="84"/>
        <v>August</v>
      </c>
      <c r="H692" s="30">
        <v>120567</v>
      </c>
      <c r="I692" s="30">
        <v>7874</v>
      </c>
      <c r="J692" s="31">
        <v>1738</v>
      </c>
      <c r="K692" s="31">
        <v>882</v>
      </c>
      <c r="L692" s="31">
        <v>513</v>
      </c>
      <c r="M692" s="32">
        <v>85980.89</v>
      </c>
      <c r="N692" s="32">
        <v>2514070.68</v>
      </c>
      <c r="O692" s="33">
        <f t="shared" si="87"/>
        <v>6.53</v>
      </c>
      <c r="P692" s="34">
        <f t="shared" si="85"/>
        <v>49.471168009206</v>
      </c>
      <c r="Q692" s="35">
        <f t="shared" si="86"/>
        <v>29.2398773727511</v>
      </c>
      <c r="R692" s="35">
        <f t="shared" si="88"/>
        <v>10.9195948691897</v>
      </c>
      <c r="S692" s="33">
        <f t="shared" si="89"/>
        <v>713.14</v>
      </c>
      <c r="T692" s="36">
        <f t="shared" si="90"/>
        <v>2823.99</v>
      </c>
    </row>
    <row r="693" spans="1:20">
      <c r="A693" s="37">
        <v>45890</v>
      </c>
      <c r="B693" s="38" t="s">
        <v>1128</v>
      </c>
      <c r="C693" s="38" t="s">
        <v>1129</v>
      </c>
      <c r="D693" s="38" t="s">
        <v>1130</v>
      </c>
      <c r="E693" s="38" t="s">
        <v>1574</v>
      </c>
      <c r="F693" s="38">
        <f t="shared" si="83"/>
        <v>2025</v>
      </c>
      <c r="G693" s="38" t="str">
        <f t="shared" si="84"/>
        <v>August</v>
      </c>
      <c r="H693" s="30">
        <v>60672</v>
      </c>
      <c r="I693" s="30">
        <v>4419</v>
      </c>
      <c r="J693" s="39">
        <v>871</v>
      </c>
      <c r="K693" s="39">
        <v>435</v>
      </c>
      <c r="L693" s="39">
        <v>245</v>
      </c>
      <c r="M693" s="40">
        <v>51458.58</v>
      </c>
      <c r="N693" s="40">
        <v>887743.91</v>
      </c>
      <c r="O693" s="33">
        <f t="shared" si="87"/>
        <v>7.28</v>
      </c>
      <c r="P693" s="34">
        <f t="shared" si="85"/>
        <v>59.0798851894374</v>
      </c>
      <c r="Q693" s="35">
        <f t="shared" si="86"/>
        <v>17.2516208181415</v>
      </c>
      <c r="R693" s="35">
        <f t="shared" si="88"/>
        <v>11.6448472505092</v>
      </c>
      <c r="S693" s="33">
        <f t="shared" si="89"/>
        <v>848.14</v>
      </c>
      <c r="T693" s="36">
        <f t="shared" si="90"/>
        <v>1625.16</v>
      </c>
    </row>
    <row r="694" spans="1:20">
      <c r="A694" s="28">
        <v>45891</v>
      </c>
      <c r="B694" s="29" t="s">
        <v>1128</v>
      </c>
      <c r="C694" s="29" t="s">
        <v>1129</v>
      </c>
      <c r="D694" s="29" t="s">
        <v>1130</v>
      </c>
      <c r="E694" s="29" t="s">
        <v>1574</v>
      </c>
      <c r="F694" s="29">
        <f t="shared" si="83"/>
        <v>2025</v>
      </c>
      <c r="G694" s="29" t="str">
        <f t="shared" si="84"/>
        <v>August</v>
      </c>
      <c r="H694" s="30">
        <v>100402</v>
      </c>
      <c r="I694" s="30">
        <v>5050</v>
      </c>
      <c r="J694" s="31">
        <v>816</v>
      </c>
      <c r="K694" s="31">
        <v>428</v>
      </c>
      <c r="L694" s="31">
        <v>214</v>
      </c>
      <c r="M694" s="32">
        <v>59444.37</v>
      </c>
      <c r="N694" s="32">
        <v>833256.71</v>
      </c>
      <c r="O694" s="33">
        <f t="shared" si="87"/>
        <v>5.03</v>
      </c>
      <c r="P694" s="34">
        <f t="shared" si="85"/>
        <v>72.8484926470588</v>
      </c>
      <c r="Q694" s="35">
        <f t="shared" si="86"/>
        <v>14.017420152657</v>
      </c>
      <c r="R694" s="35">
        <f t="shared" si="88"/>
        <v>11.7711623762376</v>
      </c>
      <c r="S694" s="33">
        <f t="shared" si="89"/>
        <v>592.06</v>
      </c>
      <c r="T694" s="36">
        <f t="shared" si="90"/>
        <v>1301.74</v>
      </c>
    </row>
    <row r="695" spans="1:20">
      <c r="A695" s="37">
        <v>45892</v>
      </c>
      <c r="B695" s="38" t="s">
        <v>1128</v>
      </c>
      <c r="C695" s="38" t="s">
        <v>1129</v>
      </c>
      <c r="D695" s="38" t="s">
        <v>1130</v>
      </c>
      <c r="E695" s="38" t="s">
        <v>1574</v>
      </c>
      <c r="F695" s="38">
        <f t="shared" si="83"/>
        <v>2025</v>
      </c>
      <c r="G695" s="38" t="str">
        <f t="shared" si="84"/>
        <v>August</v>
      </c>
      <c r="H695" s="30">
        <v>182510</v>
      </c>
      <c r="I695" s="30">
        <v>10026</v>
      </c>
      <c r="J695" s="39">
        <v>2101</v>
      </c>
      <c r="K695" s="39">
        <v>1067</v>
      </c>
      <c r="L695" s="39">
        <v>537</v>
      </c>
      <c r="M695" s="40">
        <v>125713.35</v>
      </c>
      <c r="N695" s="40">
        <v>3892044.05</v>
      </c>
      <c r="O695" s="33">
        <f t="shared" si="87"/>
        <v>5.49</v>
      </c>
      <c r="P695" s="34">
        <f t="shared" si="85"/>
        <v>59.8350071394574</v>
      </c>
      <c r="Q695" s="35">
        <f t="shared" si="86"/>
        <v>30.959671745284</v>
      </c>
      <c r="R695" s="35">
        <f t="shared" si="88"/>
        <v>12.5387342908438</v>
      </c>
      <c r="S695" s="33">
        <f t="shared" si="89"/>
        <v>688.8</v>
      </c>
      <c r="T695" s="36">
        <f t="shared" si="90"/>
        <v>2995.97</v>
      </c>
    </row>
    <row r="696" spans="1:20">
      <c r="A696" s="28">
        <v>45893</v>
      </c>
      <c r="B696" s="29" t="s">
        <v>1128</v>
      </c>
      <c r="C696" s="29" t="s">
        <v>1129</v>
      </c>
      <c r="D696" s="29" t="s">
        <v>1130</v>
      </c>
      <c r="E696" s="29" t="s">
        <v>1574</v>
      </c>
      <c r="F696" s="29">
        <f t="shared" si="83"/>
        <v>2025</v>
      </c>
      <c r="G696" s="29" t="str">
        <f t="shared" si="84"/>
        <v>August</v>
      </c>
      <c r="H696" s="30">
        <v>91784</v>
      </c>
      <c r="I696" s="30">
        <v>5762</v>
      </c>
      <c r="J696" s="31">
        <v>1342</v>
      </c>
      <c r="K696" s="31">
        <v>834</v>
      </c>
      <c r="L696" s="31">
        <v>453</v>
      </c>
      <c r="M696" s="32">
        <v>53692.75</v>
      </c>
      <c r="N696" s="32">
        <v>2444731.5</v>
      </c>
      <c r="O696" s="33">
        <f t="shared" si="87"/>
        <v>6.28</v>
      </c>
      <c r="P696" s="34">
        <f t="shared" si="85"/>
        <v>40.0095007451565</v>
      </c>
      <c r="Q696" s="35">
        <f t="shared" si="86"/>
        <v>45.5318734838502</v>
      </c>
      <c r="R696" s="35">
        <f t="shared" si="88"/>
        <v>9.31842242276987</v>
      </c>
      <c r="S696" s="33">
        <f t="shared" si="89"/>
        <v>584.99</v>
      </c>
      <c r="T696" s="36">
        <f t="shared" si="90"/>
        <v>4453.19</v>
      </c>
    </row>
    <row r="697" spans="1:20">
      <c r="A697" s="37">
        <v>45894</v>
      </c>
      <c r="B697" s="38" t="s">
        <v>1128</v>
      </c>
      <c r="C697" s="38" t="s">
        <v>1129</v>
      </c>
      <c r="D697" s="38" t="s">
        <v>1130</v>
      </c>
      <c r="E697" s="38" t="s">
        <v>1574</v>
      </c>
      <c r="F697" s="38">
        <f t="shared" si="83"/>
        <v>2025</v>
      </c>
      <c r="G697" s="38" t="str">
        <f t="shared" si="84"/>
        <v>August</v>
      </c>
      <c r="H697" s="30">
        <v>277958</v>
      </c>
      <c r="I697" s="30">
        <v>10817</v>
      </c>
      <c r="J697" s="39">
        <v>2519</v>
      </c>
      <c r="K697" s="39">
        <v>1222</v>
      </c>
      <c r="L697" s="39">
        <v>546</v>
      </c>
      <c r="M697" s="40">
        <v>258352.11</v>
      </c>
      <c r="N697" s="40">
        <v>3167583.01</v>
      </c>
      <c r="O697" s="33">
        <f t="shared" si="87"/>
        <v>3.89</v>
      </c>
      <c r="P697" s="34">
        <f t="shared" si="85"/>
        <v>102.561377530766</v>
      </c>
      <c r="Q697" s="35">
        <f t="shared" si="86"/>
        <v>12.2607204949865</v>
      </c>
      <c r="R697" s="35">
        <f t="shared" si="88"/>
        <v>23.8838966441712</v>
      </c>
      <c r="S697" s="33">
        <f t="shared" si="89"/>
        <v>929.46</v>
      </c>
      <c r="T697" s="36">
        <f t="shared" si="90"/>
        <v>1126.07</v>
      </c>
    </row>
    <row r="698" spans="1:20">
      <c r="A698" s="28">
        <v>45895</v>
      </c>
      <c r="B698" s="29" t="s">
        <v>1128</v>
      </c>
      <c r="C698" s="29" t="s">
        <v>1129</v>
      </c>
      <c r="D698" s="29" t="s">
        <v>1130</v>
      </c>
      <c r="E698" s="29" t="s">
        <v>1574</v>
      </c>
      <c r="F698" s="29">
        <f t="shared" si="83"/>
        <v>2025</v>
      </c>
      <c r="G698" s="29" t="str">
        <f t="shared" si="84"/>
        <v>August</v>
      </c>
      <c r="H698" s="30">
        <v>192183</v>
      </c>
      <c r="I698" s="30">
        <v>10955</v>
      </c>
      <c r="J698" s="31">
        <v>1911</v>
      </c>
      <c r="K698" s="31">
        <v>982</v>
      </c>
      <c r="L698" s="31">
        <v>531</v>
      </c>
      <c r="M698" s="32">
        <v>99989.22</v>
      </c>
      <c r="N698" s="32">
        <v>2721879.68</v>
      </c>
      <c r="O698" s="33">
        <f t="shared" si="87"/>
        <v>5.7</v>
      </c>
      <c r="P698" s="34">
        <f t="shared" si="85"/>
        <v>52.3229827315542</v>
      </c>
      <c r="Q698" s="35">
        <f t="shared" si="86"/>
        <v>27.2217313026344</v>
      </c>
      <c r="R698" s="35">
        <f t="shared" si="88"/>
        <v>9.12726791419443</v>
      </c>
      <c r="S698" s="33">
        <f t="shared" si="89"/>
        <v>520.28</v>
      </c>
      <c r="T698" s="36">
        <f t="shared" si="90"/>
        <v>2622.17</v>
      </c>
    </row>
    <row r="699" spans="1:20">
      <c r="A699" s="37">
        <v>45896</v>
      </c>
      <c r="B699" s="38" t="s">
        <v>1128</v>
      </c>
      <c r="C699" s="38" t="s">
        <v>1129</v>
      </c>
      <c r="D699" s="38" t="s">
        <v>1130</v>
      </c>
      <c r="E699" s="38" t="s">
        <v>1574</v>
      </c>
      <c r="F699" s="38">
        <f t="shared" si="83"/>
        <v>2025</v>
      </c>
      <c r="G699" s="38" t="str">
        <f t="shared" si="84"/>
        <v>August</v>
      </c>
      <c r="H699" s="30">
        <v>263391</v>
      </c>
      <c r="I699" s="30">
        <v>15760</v>
      </c>
      <c r="J699" s="39">
        <v>2389</v>
      </c>
      <c r="K699" s="39">
        <v>1303</v>
      </c>
      <c r="L699" s="39">
        <v>686</v>
      </c>
      <c r="M699" s="40">
        <v>138918.72</v>
      </c>
      <c r="N699" s="40">
        <v>3426291.48</v>
      </c>
      <c r="O699" s="33">
        <f t="shared" si="87"/>
        <v>5.98</v>
      </c>
      <c r="P699" s="34">
        <f t="shared" si="85"/>
        <v>58.1493177061532</v>
      </c>
      <c r="Q699" s="35">
        <f t="shared" si="86"/>
        <v>24.6640012231613</v>
      </c>
      <c r="R699" s="35">
        <f t="shared" si="88"/>
        <v>8.81463959390863</v>
      </c>
      <c r="S699" s="33">
        <f t="shared" si="89"/>
        <v>527.42</v>
      </c>
      <c r="T699" s="36">
        <f t="shared" si="90"/>
        <v>2366.4</v>
      </c>
    </row>
    <row r="700" spans="1:20">
      <c r="A700" s="28">
        <v>45897</v>
      </c>
      <c r="B700" s="29" t="s">
        <v>1128</v>
      </c>
      <c r="C700" s="29" t="s">
        <v>1129</v>
      </c>
      <c r="D700" s="29" t="s">
        <v>1130</v>
      </c>
      <c r="E700" s="29" t="s">
        <v>1574</v>
      </c>
      <c r="F700" s="29">
        <f t="shared" si="83"/>
        <v>2025</v>
      </c>
      <c r="G700" s="29" t="str">
        <f t="shared" si="84"/>
        <v>August</v>
      </c>
      <c r="H700" s="30">
        <v>272021</v>
      </c>
      <c r="I700" s="30">
        <v>16255</v>
      </c>
      <c r="J700" s="31">
        <v>3053</v>
      </c>
      <c r="K700" s="31">
        <v>1496</v>
      </c>
      <c r="L700" s="31">
        <v>719</v>
      </c>
      <c r="M700" s="32">
        <v>201326.36</v>
      </c>
      <c r="N700" s="32">
        <v>2668478.92</v>
      </c>
      <c r="O700" s="33">
        <f t="shared" si="87"/>
        <v>5.98</v>
      </c>
      <c r="P700" s="34">
        <f t="shared" si="85"/>
        <v>65.9437798886341</v>
      </c>
      <c r="Q700" s="35">
        <f t="shared" si="86"/>
        <v>13.2544934503361</v>
      </c>
      <c r="R700" s="35">
        <f t="shared" si="88"/>
        <v>12.3855035373731</v>
      </c>
      <c r="S700" s="33">
        <f t="shared" si="89"/>
        <v>740.11</v>
      </c>
      <c r="T700" s="36">
        <f t="shared" si="90"/>
        <v>1225.45</v>
      </c>
    </row>
    <row r="701" spans="1:20">
      <c r="A701" s="37">
        <v>45898</v>
      </c>
      <c r="B701" s="38" t="s">
        <v>1128</v>
      </c>
      <c r="C701" s="38" t="s">
        <v>1129</v>
      </c>
      <c r="D701" s="38" t="s">
        <v>1130</v>
      </c>
      <c r="E701" s="38" t="s">
        <v>1574</v>
      </c>
      <c r="F701" s="38">
        <f t="shared" si="83"/>
        <v>2025</v>
      </c>
      <c r="G701" s="38" t="str">
        <f t="shared" si="84"/>
        <v>August</v>
      </c>
      <c r="H701" s="30">
        <v>156442</v>
      </c>
      <c r="I701" s="30">
        <v>5047</v>
      </c>
      <c r="J701" s="39">
        <v>1081</v>
      </c>
      <c r="K701" s="39">
        <v>616</v>
      </c>
      <c r="L701" s="39">
        <v>364</v>
      </c>
      <c r="M701" s="40">
        <v>81569.7</v>
      </c>
      <c r="N701" s="40">
        <v>1780402.59</v>
      </c>
      <c r="O701" s="33">
        <f t="shared" si="87"/>
        <v>3.23</v>
      </c>
      <c r="P701" s="34">
        <f t="shared" si="85"/>
        <v>75.4576318223867</v>
      </c>
      <c r="Q701" s="35">
        <f t="shared" si="86"/>
        <v>21.826763982214</v>
      </c>
      <c r="R701" s="35">
        <f t="shared" si="88"/>
        <v>16.1620170398256</v>
      </c>
      <c r="S701" s="33">
        <f t="shared" si="89"/>
        <v>521.41</v>
      </c>
      <c r="T701" s="36">
        <f t="shared" si="90"/>
        <v>2082.68</v>
      </c>
    </row>
    <row r="702" spans="1:20">
      <c r="A702" s="28">
        <v>45899</v>
      </c>
      <c r="B702" s="29" t="s">
        <v>1128</v>
      </c>
      <c r="C702" s="29" t="s">
        <v>1129</v>
      </c>
      <c r="D702" s="29" t="s">
        <v>1130</v>
      </c>
      <c r="E702" s="29" t="s">
        <v>1574</v>
      </c>
      <c r="F702" s="29">
        <f t="shared" si="83"/>
        <v>2025</v>
      </c>
      <c r="G702" s="29" t="str">
        <f t="shared" si="84"/>
        <v>August</v>
      </c>
      <c r="H702" s="30">
        <v>247071</v>
      </c>
      <c r="I702" s="30">
        <v>14991</v>
      </c>
      <c r="J702" s="31">
        <v>3641</v>
      </c>
      <c r="K702" s="31">
        <v>1717</v>
      </c>
      <c r="L702" s="31">
        <v>746</v>
      </c>
      <c r="M702" s="32">
        <v>196671.42</v>
      </c>
      <c r="N702" s="32">
        <v>5676011.44</v>
      </c>
      <c r="O702" s="33">
        <f t="shared" si="87"/>
        <v>6.07</v>
      </c>
      <c r="P702" s="34">
        <f t="shared" si="85"/>
        <v>54.0157703927492</v>
      </c>
      <c r="Q702" s="35">
        <f t="shared" si="86"/>
        <v>28.8603775779928</v>
      </c>
      <c r="R702" s="35">
        <f t="shared" si="88"/>
        <v>13.1192995797478</v>
      </c>
      <c r="S702" s="33">
        <f t="shared" si="89"/>
        <v>796.01</v>
      </c>
      <c r="T702" s="36">
        <f t="shared" si="90"/>
        <v>2786.04</v>
      </c>
    </row>
    <row r="703" spans="1:20">
      <c r="A703" s="37">
        <v>45900</v>
      </c>
      <c r="B703" s="38" t="s">
        <v>1128</v>
      </c>
      <c r="C703" s="38" t="s">
        <v>1129</v>
      </c>
      <c r="D703" s="38" t="s">
        <v>1130</v>
      </c>
      <c r="E703" s="38" t="s">
        <v>1574</v>
      </c>
      <c r="F703" s="38">
        <f t="shared" si="83"/>
        <v>2025</v>
      </c>
      <c r="G703" s="38" t="str">
        <f t="shared" si="84"/>
        <v>August</v>
      </c>
      <c r="H703" s="30">
        <v>250143</v>
      </c>
      <c r="I703" s="30">
        <v>13827</v>
      </c>
      <c r="J703" s="39">
        <v>2421</v>
      </c>
      <c r="K703" s="39">
        <v>1432</v>
      </c>
      <c r="L703" s="39">
        <v>812</v>
      </c>
      <c r="M703" s="40">
        <v>246806.14</v>
      </c>
      <c r="N703" s="40">
        <v>4206184.57</v>
      </c>
      <c r="O703" s="33">
        <f t="shared" si="87"/>
        <v>5.53</v>
      </c>
      <c r="P703" s="34">
        <f t="shared" si="85"/>
        <v>101.943882693102</v>
      </c>
      <c r="Q703" s="35">
        <f t="shared" si="86"/>
        <v>17.0424632466599</v>
      </c>
      <c r="R703" s="35">
        <f t="shared" si="88"/>
        <v>17.8495798076228</v>
      </c>
      <c r="S703" s="33">
        <f t="shared" si="89"/>
        <v>986.66</v>
      </c>
      <c r="T703" s="36">
        <f t="shared" si="90"/>
        <v>1604.25</v>
      </c>
    </row>
    <row r="704" spans="1:20">
      <c r="A704" s="28">
        <v>45666</v>
      </c>
      <c r="B704" s="29" t="s">
        <v>1128</v>
      </c>
      <c r="C704" s="29" t="s">
        <v>1129</v>
      </c>
      <c r="D704" s="29" t="s">
        <v>1130</v>
      </c>
      <c r="E704" s="29" t="s">
        <v>1574</v>
      </c>
      <c r="F704" s="29">
        <f t="shared" si="83"/>
        <v>2025</v>
      </c>
      <c r="G704" s="29" t="str">
        <f t="shared" si="84"/>
        <v>January</v>
      </c>
      <c r="H704" s="30">
        <v>107058</v>
      </c>
      <c r="I704" s="30">
        <v>3243</v>
      </c>
      <c r="J704" s="31">
        <v>768</v>
      </c>
      <c r="K704" s="31">
        <v>451</v>
      </c>
      <c r="L704" s="31">
        <v>183</v>
      </c>
      <c r="M704" s="32">
        <v>93964.07</v>
      </c>
      <c r="N704" s="32">
        <v>1201913.08</v>
      </c>
      <c r="O704" s="33">
        <f t="shared" si="87"/>
        <v>3.03</v>
      </c>
      <c r="P704" s="34">
        <f t="shared" si="85"/>
        <v>122.349049479167</v>
      </c>
      <c r="Q704" s="35">
        <f t="shared" si="86"/>
        <v>12.7911985932495</v>
      </c>
      <c r="R704" s="35">
        <f t="shared" si="88"/>
        <v>28.9744279987666</v>
      </c>
      <c r="S704" s="33">
        <f t="shared" si="89"/>
        <v>877.69</v>
      </c>
      <c r="T704" s="36">
        <f t="shared" si="90"/>
        <v>1179.12</v>
      </c>
    </row>
    <row r="705" spans="1:20">
      <c r="A705" s="37">
        <v>45697</v>
      </c>
      <c r="B705" s="38" t="s">
        <v>1128</v>
      </c>
      <c r="C705" s="38" t="s">
        <v>1129</v>
      </c>
      <c r="D705" s="38" t="s">
        <v>1130</v>
      </c>
      <c r="E705" s="38" t="s">
        <v>1574</v>
      </c>
      <c r="F705" s="38">
        <f t="shared" si="83"/>
        <v>2025</v>
      </c>
      <c r="G705" s="38" t="str">
        <f t="shared" si="84"/>
        <v>February</v>
      </c>
      <c r="H705" s="30">
        <v>70747</v>
      </c>
      <c r="I705" s="30">
        <v>4626</v>
      </c>
      <c r="J705" s="39">
        <v>1107</v>
      </c>
      <c r="K705" s="39">
        <v>534</v>
      </c>
      <c r="L705" s="39">
        <v>275</v>
      </c>
      <c r="M705" s="40">
        <v>61069.08</v>
      </c>
      <c r="N705" s="40">
        <v>943623.62</v>
      </c>
      <c r="O705" s="33">
        <f t="shared" si="87"/>
        <v>6.54</v>
      </c>
      <c r="P705" s="34">
        <f t="shared" si="85"/>
        <v>55.1662872628726</v>
      </c>
      <c r="Q705" s="35">
        <f t="shared" si="86"/>
        <v>15.4517412084806</v>
      </c>
      <c r="R705" s="35">
        <f t="shared" si="88"/>
        <v>13.201271076524</v>
      </c>
      <c r="S705" s="33">
        <f t="shared" si="89"/>
        <v>863.2</v>
      </c>
      <c r="T705" s="36">
        <f t="shared" si="90"/>
        <v>1445.17</v>
      </c>
    </row>
    <row r="706" spans="1:20">
      <c r="A706" s="28">
        <v>45725</v>
      </c>
      <c r="B706" s="29" t="s">
        <v>1128</v>
      </c>
      <c r="C706" s="29" t="s">
        <v>1129</v>
      </c>
      <c r="D706" s="29" t="s">
        <v>1130</v>
      </c>
      <c r="E706" s="29" t="s">
        <v>1574</v>
      </c>
      <c r="F706" s="29">
        <f t="shared" ref="F706:F764" si="91">YEAR(A706)</f>
        <v>2025</v>
      </c>
      <c r="G706" s="29" t="str">
        <f t="shared" ref="G706:G764" si="92">TEXT(A706,"mmmm")</f>
        <v>March</v>
      </c>
      <c r="H706" s="30">
        <v>239227</v>
      </c>
      <c r="I706" s="30">
        <v>14680</v>
      </c>
      <c r="J706" s="31">
        <v>3320</v>
      </c>
      <c r="K706" s="31">
        <v>1838</v>
      </c>
      <c r="L706" s="31">
        <v>874</v>
      </c>
      <c r="M706" s="32">
        <v>144170.21</v>
      </c>
      <c r="N706" s="32">
        <v>6122970.76</v>
      </c>
      <c r="O706" s="33">
        <f t="shared" si="87"/>
        <v>6.14</v>
      </c>
      <c r="P706" s="34">
        <f t="shared" ref="P706:P764" si="93">M706/J706</f>
        <v>43.4247620481928</v>
      </c>
      <c r="Q706" s="35">
        <f t="shared" ref="Q706:Q764" si="94">N706/M706</f>
        <v>42.4704296400761</v>
      </c>
      <c r="R706" s="35">
        <f t="shared" si="88"/>
        <v>9.82085899182561</v>
      </c>
      <c r="S706" s="33">
        <f t="shared" si="89"/>
        <v>602.65</v>
      </c>
      <c r="T706" s="36">
        <f t="shared" si="90"/>
        <v>4147.04</v>
      </c>
    </row>
    <row r="707" spans="1:20">
      <c r="A707" s="37">
        <v>45756</v>
      </c>
      <c r="B707" s="38" t="s">
        <v>1128</v>
      </c>
      <c r="C707" s="38" t="s">
        <v>1129</v>
      </c>
      <c r="D707" s="38" t="s">
        <v>1130</v>
      </c>
      <c r="E707" s="38" t="s">
        <v>1574</v>
      </c>
      <c r="F707" s="38">
        <f t="shared" si="91"/>
        <v>2025</v>
      </c>
      <c r="G707" s="38" t="str">
        <f t="shared" si="92"/>
        <v>April</v>
      </c>
      <c r="H707" s="30">
        <v>205200</v>
      </c>
      <c r="I707" s="30">
        <v>14587</v>
      </c>
      <c r="J707" s="39">
        <v>2970</v>
      </c>
      <c r="K707" s="39">
        <v>1688</v>
      </c>
      <c r="L707" s="39">
        <v>853</v>
      </c>
      <c r="M707" s="40">
        <v>110816.95</v>
      </c>
      <c r="N707" s="40">
        <v>5569954.66</v>
      </c>
      <c r="O707" s="33">
        <f t="shared" ref="O707:O764" si="95">ROUND(I707/H707*100,2)</f>
        <v>7.11</v>
      </c>
      <c r="P707" s="34">
        <f t="shared" si="93"/>
        <v>37.3121043771044</v>
      </c>
      <c r="Q707" s="35">
        <f t="shared" si="94"/>
        <v>50.2626598187371</v>
      </c>
      <c r="R707" s="35">
        <f t="shared" si="88"/>
        <v>7.59696647700007</v>
      </c>
      <c r="S707" s="33">
        <f t="shared" si="89"/>
        <v>540.04</v>
      </c>
      <c r="T707" s="36">
        <f t="shared" si="90"/>
        <v>4926.27</v>
      </c>
    </row>
    <row r="708" spans="1:20">
      <c r="A708" s="28">
        <v>45786</v>
      </c>
      <c r="B708" s="29" t="s">
        <v>1128</v>
      </c>
      <c r="C708" s="29" t="s">
        <v>1129</v>
      </c>
      <c r="D708" s="29" t="s">
        <v>1130</v>
      </c>
      <c r="E708" s="29" t="s">
        <v>1574</v>
      </c>
      <c r="F708" s="29">
        <f t="shared" si="91"/>
        <v>2025</v>
      </c>
      <c r="G708" s="29" t="str">
        <f t="shared" si="92"/>
        <v>May</v>
      </c>
      <c r="H708" s="30">
        <v>281976</v>
      </c>
      <c r="I708" s="30">
        <v>15138</v>
      </c>
      <c r="J708" s="31">
        <v>3583</v>
      </c>
      <c r="K708" s="31">
        <v>1682</v>
      </c>
      <c r="L708" s="31">
        <v>882</v>
      </c>
      <c r="M708" s="32">
        <v>184334.8</v>
      </c>
      <c r="N708" s="32">
        <v>5829281.55</v>
      </c>
      <c r="O708" s="33">
        <f t="shared" si="95"/>
        <v>5.37</v>
      </c>
      <c r="P708" s="34">
        <f t="shared" si="93"/>
        <v>51.4470555400502</v>
      </c>
      <c r="Q708" s="35">
        <f t="shared" si="94"/>
        <v>31.623337264586</v>
      </c>
      <c r="R708" s="35">
        <f t="shared" si="88"/>
        <v>12.1769586471132</v>
      </c>
      <c r="S708" s="33">
        <f t="shared" si="89"/>
        <v>653.73</v>
      </c>
      <c r="T708" s="36">
        <f t="shared" si="90"/>
        <v>3062.33</v>
      </c>
    </row>
    <row r="709" spans="1:20">
      <c r="A709" s="37">
        <v>45817</v>
      </c>
      <c r="B709" s="38" t="s">
        <v>1128</v>
      </c>
      <c r="C709" s="38" t="s">
        <v>1129</v>
      </c>
      <c r="D709" s="38" t="s">
        <v>1130</v>
      </c>
      <c r="E709" s="38" t="s">
        <v>1574</v>
      </c>
      <c r="F709" s="38">
        <f t="shared" si="91"/>
        <v>2025</v>
      </c>
      <c r="G709" s="38" t="str">
        <f t="shared" si="92"/>
        <v>June</v>
      </c>
      <c r="H709" s="30">
        <v>137599</v>
      </c>
      <c r="I709" s="30">
        <v>10631</v>
      </c>
      <c r="J709" s="39">
        <v>2329</v>
      </c>
      <c r="K709" s="39">
        <v>1429</v>
      </c>
      <c r="L709" s="39">
        <v>624</v>
      </c>
      <c r="M709" s="40">
        <v>116671.7</v>
      </c>
      <c r="N709" s="40">
        <v>1995280.37</v>
      </c>
      <c r="O709" s="33">
        <f t="shared" si="95"/>
        <v>7.73</v>
      </c>
      <c r="P709" s="34">
        <f t="shared" si="93"/>
        <v>50.0951910691284</v>
      </c>
      <c r="Q709" s="35">
        <f t="shared" si="94"/>
        <v>17.1016653567232</v>
      </c>
      <c r="R709" s="35">
        <f t="shared" si="88"/>
        <v>10.9746684225379</v>
      </c>
      <c r="S709" s="33">
        <f t="shared" si="89"/>
        <v>847.91</v>
      </c>
      <c r="T709" s="36">
        <f t="shared" si="90"/>
        <v>1610.17</v>
      </c>
    </row>
    <row r="710" spans="1:20">
      <c r="A710" s="28">
        <v>45847</v>
      </c>
      <c r="B710" s="29" t="s">
        <v>1128</v>
      </c>
      <c r="C710" s="29" t="s">
        <v>1129</v>
      </c>
      <c r="D710" s="29" t="s">
        <v>1130</v>
      </c>
      <c r="E710" s="29" t="s">
        <v>1574</v>
      </c>
      <c r="F710" s="29">
        <f t="shared" si="91"/>
        <v>2025</v>
      </c>
      <c r="G710" s="29" t="str">
        <f t="shared" si="92"/>
        <v>July</v>
      </c>
      <c r="H710" s="30">
        <v>197813</v>
      </c>
      <c r="I710" s="30">
        <v>9162</v>
      </c>
      <c r="J710" s="31">
        <v>1467</v>
      </c>
      <c r="K710" s="31">
        <v>664</v>
      </c>
      <c r="L710" s="31">
        <v>331</v>
      </c>
      <c r="M710" s="32">
        <v>126646.91</v>
      </c>
      <c r="N710" s="32">
        <v>2242704.03</v>
      </c>
      <c r="O710" s="33">
        <f t="shared" si="95"/>
        <v>4.63</v>
      </c>
      <c r="P710" s="34">
        <f t="shared" si="93"/>
        <v>86.3305453306067</v>
      </c>
      <c r="Q710" s="35">
        <f t="shared" si="94"/>
        <v>17.708320163516</v>
      </c>
      <c r="R710" s="35">
        <f t="shared" si="88"/>
        <v>13.8230637415411</v>
      </c>
      <c r="S710" s="33">
        <f t="shared" si="89"/>
        <v>640.24</v>
      </c>
      <c r="T710" s="36">
        <f t="shared" si="90"/>
        <v>1670.83</v>
      </c>
    </row>
    <row r="711" spans="1:20">
      <c r="A711" s="37">
        <v>45878</v>
      </c>
      <c r="B711" s="38" t="s">
        <v>1128</v>
      </c>
      <c r="C711" s="38" t="s">
        <v>1129</v>
      </c>
      <c r="D711" s="38" t="s">
        <v>1130</v>
      </c>
      <c r="E711" s="38" t="s">
        <v>1574</v>
      </c>
      <c r="F711" s="38">
        <f t="shared" si="91"/>
        <v>2025</v>
      </c>
      <c r="G711" s="38" t="str">
        <f t="shared" si="92"/>
        <v>August</v>
      </c>
      <c r="H711" s="30">
        <v>183517</v>
      </c>
      <c r="I711" s="30">
        <v>8806</v>
      </c>
      <c r="J711" s="39">
        <v>1894</v>
      </c>
      <c r="K711" s="39">
        <v>1152</v>
      </c>
      <c r="L711" s="39">
        <v>607</v>
      </c>
      <c r="M711" s="40">
        <v>156011.44</v>
      </c>
      <c r="N711" s="40">
        <v>3701255.37</v>
      </c>
      <c r="O711" s="33">
        <f t="shared" si="95"/>
        <v>4.8</v>
      </c>
      <c r="P711" s="34">
        <f t="shared" si="93"/>
        <v>82.3714044350581</v>
      </c>
      <c r="Q711" s="35">
        <f t="shared" si="94"/>
        <v>23.7242561827517</v>
      </c>
      <c r="R711" s="35">
        <f t="shared" si="88"/>
        <v>17.7164933000227</v>
      </c>
      <c r="S711" s="33">
        <f t="shared" si="89"/>
        <v>850.12</v>
      </c>
      <c r="T711" s="36">
        <f t="shared" si="90"/>
        <v>2272.43</v>
      </c>
    </row>
    <row r="712" spans="1:20">
      <c r="A712" s="28">
        <v>45909</v>
      </c>
      <c r="B712" s="29" t="s">
        <v>1128</v>
      </c>
      <c r="C712" s="29" t="s">
        <v>1129</v>
      </c>
      <c r="D712" s="29" t="s">
        <v>1130</v>
      </c>
      <c r="E712" s="29" t="s">
        <v>1574</v>
      </c>
      <c r="F712" s="29">
        <f t="shared" si="91"/>
        <v>2025</v>
      </c>
      <c r="G712" s="29" t="str">
        <f t="shared" si="92"/>
        <v>September</v>
      </c>
      <c r="H712" s="30">
        <v>92749</v>
      </c>
      <c r="I712" s="30">
        <v>6844</v>
      </c>
      <c r="J712" s="31">
        <v>1354</v>
      </c>
      <c r="K712" s="31">
        <v>704</v>
      </c>
      <c r="L712" s="31">
        <v>396</v>
      </c>
      <c r="M712" s="32">
        <v>68351.57</v>
      </c>
      <c r="N712" s="32">
        <v>1710346.58</v>
      </c>
      <c r="O712" s="33">
        <f t="shared" si="95"/>
        <v>7.38</v>
      </c>
      <c r="P712" s="34">
        <f t="shared" si="93"/>
        <v>50.4812186115214</v>
      </c>
      <c r="Q712" s="35">
        <f t="shared" si="94"/>
        <v>25.0227841145419</v>
      </c>
      <c r="R712" s="35">
        <f t="shared" si="88"/>
        <v>9.98707919345412</v>
      </c>
      <c r="S712" s="33">
        <f t="shared" si="89"/>
        <v>736.95</v>
      </c>
      <c r="T712" s="36">
        <f t="shared" si="90"/>
        <v>2402.28</v>
      </c>
    </row>
    <row r="713" spans="1:20">
      <c r="A713" s="37">
        <v>45939</v>
      </c>
      <c r="B713" s="38" t="s">
        <v>1128</v>
      </c>
      <c r="C713" s="38" t="s">
        <v>1129</v>
      </c>
      <c r="D713" s="38" t="s">
        <v>1130</v>
      </c>
      <c r="E713" s="38" t="s">
        <v>1574</v>
      </c>
      <c r="F713" s="38">
        <f t="shared" si="91"/>
        <v>2025</v>
      </c>
      <c r="G713" s="38" t="str">
        <f t="shared" si="92"/>
        <v>October</v>
      </c>
      <c r="H713" s="30">
        <v>242936</v>
      </c>
      <c r="I713" s="30">
        <v>9558</v>
      </c>
      <c r="J713" s="39">
        <v>1983</v>
      </c>
      <c r="K713" s="39">
        <v>1172</v>
      </c>
      <c r="L713" s="39">
        <v>687</v>
      </c>
      <c r="M713" s="40">
        <v>221405.22</v>
      </c>
      <c r="N713" s="40">
        <v>3264776.12</v>
      </c>
      <c r="O713" s="33">
        <f t="shared" si="95"/>
        <v>3.93</v>
      </c>
      <c r="P713" s="34">
        <f t="shared" si="93"/>
        <v>111.651649016641</v>
      </c>
      <c r="Q713" s="35">
        <f t="shared" si="94"/>
        <v>14.7457052728928</v>
      </c>
      <c r="R713" s="35">
        <f t="shared" si="88"/>
        <v>23.1643879472693</v>
      </c>
      <c r="S713" s="33">
        <f t="shared" si="89"/>
        <v>911.37</v>
      </c>
      <c r="T713" s="36">
        <f t="shared" si="90"/>
        <v>1374.57</v>
      </c>
    </row>
    <row r="714" spans="1:20">
      <c r="A714" s="28">
        <v>45970</v>
      </c>
      <c r="B714" s="29" t="s">
        <v>1128</v>
      </c>
      <c r="C714" s="29" t="s">
        <v>1129</v>
      </c>
      <c r="D714" s="29" t="s">
        <v>1130</v>
      </c>
      <c r="E714" s="29" t="s">
        <v>1574</v>
      </c>
      <c r="F714" s="29">
        <f t="shared" si="91"/>
        <v>2025</v>
      </c>
      <c r="G714" s="29" t="str">
        <f t="shared" si="92"/>
        <v>November</v>
      </c>
      <c r="H714" s="30">
        <v>99617</v>
      </c>
      <c r="I714" s="30">
        <v>3517</v>
      </c>
      <c r="J714" s="31">
        <v>638</v>
      </c>
      <c r="K714" s="31">
        <v>340</v>
      </c>
      <c r="L714" s="31">
        <v>165</v>
      </c>
      <c r="M714" s="32">
        <v>43282.33</v>
      </c>
      <c r="N714" s="32">
        <v>505160.33</v>
      </c>
      <c r="O714" s="33">
        <f t="shared" si="95"/>
        <v>3.53</v>
      </c>
      <c r="P714" s="34">
        <f t="shared" si="93"/>
        <v>67.8406426332288</v>
      </c>
      <c r="Q714" s="35">
        <f t="shared" si="94"/>
        <v>11.6712831772227</v>
      </c>
      <c r="R714" s="35">
        <f t="shared" si="88"/>
        <v>12.3066050611316</v>
      </c>
      <c r="S714" s="33">
        <f t="shared" si="89"/>
        <v>434.49</v>
      </c>
      <c r="T714" s="36">
        <f t="shared" si="90"/>
        <v>1067.13</v>
      </c>
    </row>
    <row r="715" spans="1:20">
      <c r="A715" s="37">
        <v>46000</v>
      </c>
      <c r="B715" s="38" t="s">
        <v>1128</v>
      </c>
      <c r="C715" s="38" t="s">
        <v>1129</v>
      </c>
      <c r="D715" s="38" t="s">
        <v>1130</v>
      </c>
      <c r="E715" s="38" t="s">
        <v>1574</v>
      </c>
      <c r="F715" s="38">
        <f t="shared" si="91"/>
        <v>2025</v>
      </c>
      <c r="G715" s="38" t="str">
        <f t="shared" si="92"/>
        <v>December</v>
      </c>
      <c r="H715" s="30">
        <v>76637</v>
      </c>
      <c r="I715" s="30">
        <v>3191</v>
      </c>
      <c r="J715" s="39">
        <v>733</v>
      </c>
      <c r="K715" s="39">
        <v>446</v>
      </c>
      <c r="L715" s="39">
        <v>203</v>
      </c>
      <c r="M715" s="40">
        <v>74481.25</v>
      </c>
      <c r="N715" s="40">
        <v>656000.98</v>
      </c>
      <c r="O715" s="33">
        <f t="shared" si="95"/>
        <v>4.16</v>
      </c>
      <c r="P715" s="34">
        <f t="shared" si="93"/>
        <v>101.611527967258</v>
      </c>
      <c r="Q715" s="35">
        <f t="shared" si="94"/>
        <v>8.80759895946967</v>
      </c>
      <c r="R715" s="35">
        <f t="shared" si="88"/>
        <v>23.3410372923848</v>
      </c>
      <c r="S715" s="33">
        <f t="shared" si="89"/>
        <v>971.87</v>
      </c>
      <c r="T715" s="36">
        <f t="shared" si="90"/>
        <v>780.76</v>
      </c>
    </row>
    <row r="716" spans="1:20">
      <c r="A716" s="28">
        <v>45913</v>
      </c>
      <c r="B716" s="29" t="s">
        <v>1128</v>
      </c>
      <c r="C716" s="29" t="s">
        <v>1129</v>
      </c>
      <c r="D716" s="29" t="s">
        <v>1130</v>
      </c>
      <c r="E716" s="29" t="s">
        <v>1574</v>
      </c>
      <c r="F716" s="29">
        <f t="shared" si="91"/>
        <v>2025</v>
      </c>
      <c r="G716" s="29" t="str">
        <f t="shared" si="92"/>
        <v>September</v>
      </c>
      <c r="H716" s="30">
        <v>166151</v>
      </c>
      <c r="I716" s="30">
        <v>7773</v>
      </c>
      <c r="J716" s="31">
        <v>1561</v>
      </c>
      <c r="K716" s="31">
        <v>853</v>
      </c>
      <c r="L716" s="31">
        <v>511</v>
      </c>
      <c r="M716" s="32">
        <v>164748.2</v>
      </c>
      <c r="N716" s="32">
        <v>4031732.04</v>
      </c>
      <c r="O716" s="33">
        <f t="shared" si="95"/>
        <v>4.68</v>
      </c>
      <c r="P716" s="34">
        <f t="shared" si="93"/>
        <v>105.540166559898</v>
      </c>
      <c r="Q716" s="35">
        <f t="shared" si="94"/>
        <v>24.4720855220269</v>
      </c>
      <c r="R716" s="35">
        <f t="shared" si="88"/>
        <v>21.1949311720057</v>
      </c>
      <c r="S716" s="33">
        <f t="shared" si="89"/>
        <v>991.56</v>
      </c>
      <c r="T716" s="36">
        <f t="shared" si="90"/>
        <v>2347.21</v>
      </c>
    </row>
    <row r="717" spans="1:20">
      <c r="A717" s="37">
        <v>45914</v>
      </c>
      <c r="B717" s="38" t="s">
        <v>1128</v>
      </c>
      <c r="C717" s="38" t="s">
        <v>1129</v>
      </c>
      <c r="D717" s="38" t="s">
        <v>1130</v>
      </c>
      <c r="E717" s="38" t="s">
        <v>1574</v>
      </c>
      <c r="F717" s="38">
        <f t="shared" si="91"/>
        <v>2025</v>
      </c>
      <c r="G717" s="38" t="str">
        <f t="shared" si="92"/>
        <v>September</v>
      </c>
      <c r="H717" s="30">
        <v>107335</v>
      </c>
      <c r="I717" s="30">
        <v>5840</v>
      </c>
      <c r="J717" s="39">
        <v>883</v>
      </c>
      <c r="K717" s="39">
        <v>548</v>
      </c>
      <c r="L717" s="39">
        <v>311</v>
      </c>
      <c r="M717" s="40">
        <v>91579.99</v>
      </c>
      <c r="N717" s="40">
        <v>1951223.87</v>
      </c>
      <c r="O717" s="33">
        <f t="shared" si="95"/>
        <v>5.44</v>
      </c>
      <c r="P717" s="34">
        <f t="shared" si="93"/>
        <v>103.714597961495</v>
      </c>
      <c r="Q717" s="35">
        <f t="shared" si="94"/>
        <v>21.3062249733812</v>
      </c>
      <c r="R717" s="35">
        <f t="shared" si="88"/>
        <v>15.6815051369863</v>
      </c>
      <c r="S717" s="33">
        <f t="shared" si="89"/>
        <v>853.22</v>
      </c>
      <c r="T717" s="36">
        <f t="shared" si="90"/>
        <v>2030.62</v>
      </c>
    </row>
    <row r="718" spans="1:20">
      <c r="A718" s="28">
        <v>45915</v>
      </c>
      <c r="B718" s="29" t="s">
        <v>1128</v>
      </c>
      <c r="C718" s="29" t="s">
        <v>1129</v>
      </c>
      <c r="D718" s="29" t="s">
        <v>1130</v>
      </c>
      <c r="E718" s="29" t="s">
        <v>1574</v>
      </c>
      <c r="F718" s="29">
        <f t="shared" si="91"/>
        <v>2025</v>
      </c>
      <c r="G718" s="29" t="str">
        <f t="shared" si="92"/>
        <v>September</v>
      </c>
      <c r="H718" s="30">
        <v>132078</v>
      </c>
      <c r="I718" s="30">
        <v>9148</v>
      </c>
      <c r="J718" s="31">
        <v>2250</v>
      </c>
      <c r="K718" s="31">
        <v>1070</v>
      </c>
      <c r="L718" s="31">
        <v>580</v>
      </c>
      <c r="M718" s="32">
        <v>89794.27</v>
      </c>
      <c r="N718" s="32">
        <v>2201670.15</v>
      </c>
      <c r="O718" s="33">
        <f t="shared" si="95"/>
        <v>6.93</v>
      </c>
      <c r="P718" s="34">
        <f t="shared" si="93"/>
        <v>39.9085644444444</v>
      </c>
      <c r="Q718" s="35">
        <f t="shared" si="94"/>
        <v>24.5190494894607</v>
      </c>
      <c r="R718" s="35">
        <f t="shared" si="88"/>
        <v>9.81572693484915</v>
      </c>
      <c r="S718" s="33">
        <f t="shared" si="89"/>
        <v>679.86</v>
      </c>
      <c r="T718" s="36">
        <f t="shared" si="90"/>
        <v>2351.9</v>
      </c>
    </row>
    <row r="719" spans="1:20">
      <c r="A719" s="37">
        <v>45916</v>
      </c>
      <c r="B719" s="38" t="s">
        <v>1128</v>
      </c>
      <c r="C719" s="38" t="s">
        <v>1129</v>
      </c>
      <c r="D719" s="38" t="s">
        <v>1130</v>
      </c>
      <c r="E719" s="38" t="s">
        <v>1574</v>
      </c>
      <c r="F719" s="38">
        <f t="shared" si="91"/>
        <v>2025</v>
      </c>
      <c r="G719" s="38" t="str">
        <f t="shared" si="92"/>
        <v>September</v>
      </c>
      <c r="H719" s="30">
        <v>101493</v>
      </c>
      <c r="I719" s="30">
        <v>6771</v>
      </c>
      <c r="J719" s="39">
        <v>1085</v>
      </c>
      <c r="K719" s="39">
        <v>554</v>
      </c>
      <c r="L719" s="39">
        <v>279</v>
      </c>
      <c r="M719" s="40">
        <v>77121.89</v>
      </c>
      <c r="N719" s="40">
        <v>992341.27</v>
      </c>
      <c r="O719" s="33">
        <f t="shared" si="95"/>
        <v>6.67</v>
      </c>
      <c r="P719" s="34">
        <f t="shared" si="93"/>
        <v>71.0800829493088</v>
      </c>
      <c r="Q719" s="35">
        <f t="shared" si="94"/>
        <v>12.8671803816011</v>
      </c>
      <c r="R719" s="35">
        <f t="shared" si="88"/>
        <v>11.3900295377345</v>
      </c>
      <c r="S719" s="33">
        <f t="shared" si="89"/>
        <v>759.87</v>
      </c>
      <c r="T719" s="36">
        <f t="shared" si="90"/>
        <v>1186.72</v>
      </c>
    </row>
    <row r="720" spans="1:20">
      <c r="A720" s="28">
        <v>45917</v>
      </c>
      <c r="B720" s="29" t="s">
        <v>1128</v>
      </c>
      <c r="C720" s="29" t="s">
        <v>1129</v>
      </c>
      <c r="D720" s="29" t="s">
        <v>1130</v>
      </c>
      <c r="E720" s="29" t="s">
        <v>1574</v>
      </c>
      <c r="F720" s="29">
        <f t="shared" si="91"/>
        <v>2025</v>
      </c>
      <c r="G720" s="29" t="str">
        <f t="shared" si="92"/>
        <v>September</v>
      </c>
      <c r="H720" s="30">
        <v>111983</v>
      </c>
      <c r="I720" s="30">
        <v>6950</v>
      </c>
      <c r="J720" s="31">
        <v>1441</v>
      </c>
      <c r="K720" s="31">
        <v>658</v>
      </c>
      <c r="L720" s="31">
        <v>268</v>
      </c>
      <c r="M720" s="32">
        <v>90692.09</v>
      </c>
      <c r="N720" s="32">
        <v>1466996.16</v>
      </c>
      <c r="O720" s="33">
        <f t="shared" si="95"/>
        <v>6.21</v>
      </c>
      <c r="P720" s="34">
        <f t="shared" si="93"/>
        <v>62.9369118667592</v>
      </c>
      <c r="Q720" s="35">
        <f t="shared" si="94"/>
        <v>16.1755690049706</v>
      </c>
      <c r="R720" s="35">
        <f t="shared" si="88"/>
        <v>13.0492215827338</v>
      </c>
      <c r="S720" s="33">
        <f t="shared" si="89"/>
        <v>809.87</v>
      </c>
      <c r="T720" s="36">
        <f t="shared" si="90"/>
        <v>1517.56</v>
      </c>
    </row>
    <row r="721" spans="1:20">
      <c r="A721" s="37">
        <v>45918</v>
      </c>
      <c r="B721" s="38" t="s">
        <v>1128</v>
      </c>
      <c r="C721" s="38" t="s">
        <v>1129</v>
      </c>
      <c r="D721" s="38" t="s">
        <v>1130</v>
      </c>
      <c r="E721" s="38" t="s">
        <v>1574</v>
      </c>
      <c r="F721" s="38">
        <f t="shared" si="91"/>
        <v>2025</v>
      </c>
      <c r="G721" s="38" t="str">
        <f t="shared" si="92"/>
        <v>September</v>
      </c>
      <c r="H721" s="30">
        <v>215192</v>
      </c>
      <c r="I721" s="30">
        <v>7975</v>
      </c>
      <c r="J721" s="39">
        <v>1358</v>
      </c>
      <c r="K721" s="39">
        <v>818</v>
      </c>
      <c r="L721" s="39">
        <v>362</v>
      </c>
      <c r="M721" s="40">
        <v>93531.85</v>
      </c>
      <c r="N721" s="40">
        <v>2116994.93</v>
      </c>
      <c r="O721" s="33">
        <f t="shared" si="95"/>
        <v>3.71</v>
      </c>
      <c r="P721" s="34">
        <f t="shared" si="93"/>
        <v>68.87470544919</v>
      </c>
      <c r="Q721" s="35">
        <f t="shared" si="94"/>
        <v>22.6339469389304</v>
      </c>
      <c r="R721" s="35">
        <f t="shared" si="88"/>
        <v>11.728131661442</v>
      </c>
      <c r="S721" s="33">
        <f t="shared" si="89"/>
        <v>434.64</v>
      </c>
      <c r="T721" s="36">
        <f t="shared" si="90"/>
        <v>2163.39</v>
      </c>
    </row>
    <row r="722" spans="1:20">
      <c r="A722" s="28">
        <v>45919</v>
      </c>
      <c r="B722" s="29" t="s">
        <v>1128</v>
      </c>
      <c r="C722" s="29" t="s">
        <v>1129</v>
      </c>
      <c r="D722" s="29" t="s">
        <v>1130</v>
      </c>
      <c r="E722" s="29" t="s">
        <v>1574</v>
      </c>
      <c r="F722" s="29">
        <f t="shared" si="91"/>
        <v>2025</v>
      </c>
      <c r="G722" s="29" t="str">
        <f t="shared" si="92"/>
        <v>September</v>
      </c>
      <c r="H722" s="30">
        <v>261009</v>
      </c>
      <c r="I722" s="30">
        <v>19792</v>
      </c>
      <c r="J722" s="31">
        <v>4855</v>
      </c>
      <c r="K722" s="31">
        <v>2851</v>
      </c>
      <c r="L722" s="31">
        <v>1191</v>
      </c>
      <c r="M722" s="32">
        <v>193741.4</v>
      </c>
      <c r="N722" s="32">
        <v>8258758.73</v>
      </c>
      <c r="O722" s="33">
        <f t="shared" si="95"/>
        <v>7.58</v>
      </c>
      <c r="P722" s="34">
        <f t="shared" si="93"/>
        <v>39.9055406797116</v>
      </c>
      <c r="Q722" s="35">
        <f t="shared" si="94"/>
        <v>42.6277436314593</v>
      </c>
      <c r="R722" s="35">
        <f t="shared" si="88"/>
        <v>9.78887429264349</v>
      </c>
      <c r="S722" s="33">
        <f t="shared" si="89"/>
        <v>742.28</v>
      </c>
      <c r="T722" s="36">
        <f t="shared" si="90"/>
        <v>4162.77</v>
      </c>
    </row>
    <row r="723" spans="1:20">
      <c r="A723" s="37">
        <v>45920</v>
      </c>
      <c r="B723" s="38" t="s">
        <v>1128</v>
      </c>
      <c r="C723" s="38" t="s">
        <v>1129</v>
      </c>
      <c r="D723" s="38" t="s">
        <v>1130</v>
      </c>
      <c r="E723" s="38" t="s">
        <v>1574</v>
      </c>
      <c r="F723" s="38">
        <f t="shared" si="91"/>
        <v>2025</v>
      </c>
      <c r="G723" s="38" t="str">
        <f t="shared" si="92"/>
        <v>September</v>
      </c>
      <c r="H723" s="30">
        <v>197776</v>
      </c>
      <c r="I723" s="30">
        <v>11695</v>
      </c>
      <c r="J723" s="39">
        <v>1855</v>
      </c>
      <c r="K723" s="39">
        <v>1099</v>
      </c>
      <c r="L723" s="39">
        <v>619</v>
      </c>
      <c r="M723" s="40">
        <v>120118.79</v>
      </c>
      <c r="N723" s="40">
        <v>3111027.07</v>
      </c>
      <c r="O723" s="33">
        <f t="shared" si="95"/>
        <v>5.91</v>
      </c>
      <c r="P723" s="34">
        <f t="shared" si="93"/>
        <v>64.754064690027</v>
      </c>
      <c r="Q723" s="35">
        <f t="shared" si="94"/>
        <v>25.8995871503534</v>
      </c>
      <c r="R723" s="35">
        <f t="shared" si="88"/>
        <v>10.2709525438221</v>
      </c>
      <c r="S723" s="33">
        <f t="shared" si="89"/>
        <v>607.35</v>
      </c>
      <c r="T723" s="36">
        <f t="shared" si="90"/>
        <v>2489.96</v>
      </c>
    </row>
    <row r="724" spans="1:20">
      <c r="A724" s="28">
        <v>45921</v>
      </c>
      <c r="B724" s="29" t="s">
        <v>1128</v>
      </c>
      <c r="C724" s="29" t="s">
        <v>1129</v>
      </c>
      <c r="D724" s="29" t="s">
        <v>1130</v>
      </c>
      <c r="E724" s="29" t="s">
        <v>1574</v>
      </c>
      <c r="F724" s="29">
        <f t="shared" si="91"/>
        <v>2025</v>
      </c>
      <c r="G724" s="29" t="str">
        <f t="shared" si="92"/>
        <v>September</v>
      </c>
      <c r="H724" s="30">
        <v>272006</v>
      </c>
      <c r="I724" s="30">
        <v>16516</v>
      </c>
      <c r="J724" s="31">
        <v>2535</v>
      </c>
      <c r="K724" s="31">
        <v>1364</v>
      </c>
      <c r="L724" s="31">
        <v>637</v>
      </c>
      <c r="M724" s="32">
        <v>121243.02</v>
      </c>
      <c r="N724" s="32">
        <v>4131056.57</v>
      </c>
      <c r="O724" s="33">
        <f t="shared" si="95"/>
        <v>6.07</v>
      </c>
      <c r="P724" s="34">
        <f t="shared" si="93"/>
        <v>47.8276213017752</v>
      </c>
      <c r="Q724" s="35">
        <f t="shared" si="94"/>
        <v>34.0725311032338</v>
      </c>
      <c r="R724" s="35">
        <f t="shared" si="88"/>
        <v>7.34094332768225</v>
      </c>
      <c r="S724" s="33">
        <f t="shared" si="89"/>
        <v>445.74</v>
      </c>
      <c r="T724" s="36">
        <f t="shared" si="90"/>
        <v>3307.25</v>
      </c>
    </row>
    <row r="725" spans="1:20">
      <c r="A725" s="37">
        <v>45922</v>
      </c>
      <c r="B725" s="38" t="s">
        <v>1128</v>
      </c>
      <c r="C725" s="38" t="s">
        <v>1129</v>
      </c>
      <c r="D725" s="38" t="s">
        <v>1130</v>
      </c>
      <c r="E725" s="38" t="s">
        <v>1574</v>
      </c>
      <c r="F725" s="38">
        <f t="shared" si="91"/>
        <v>2025</v>
      </c>
      <c r="G725" s="38" t="str">
        <f t="shared" si="92"/>
        <v>September</v>
      </c>
      <c r="H725" s="30">
        <v>130283</v>
      </c>
      <c r="I725" s="30">
        <v>4990</v>
      </c>
      <c r="J725" s="39">
        <v>834</v>
      </c>
      <c r="K725" s="39">
        <v>405</v>
      </c>
      <c r="L725" s="39">
        <v>218</v>
      </c>
      <c r="M725" s="40">
        <v>106682.68</v>
      </c>
      <c r="N725" s="40">
        <v>987967.58</v>
      </c>
      <c r="O725" s="33">
        <f t="shared" si="95"/>
        <v>3.83</v>
      </c>
      <c r="P725" s="34">
        <f t="shared" si="93"/>
        <v>127.916882494005</v>
      </c>
      <c r="Q725" s="35">
        <f t="shared" si="94"/>
        <v>9.26080578403167</v>
      </c>
      <c r="R725" s="35">
        <f t="shared" si="88"/>
        <v>21.3792945891784</v>
      </c>
      <c r="S725" s="33">
        <f t="shared" si="89"/>
        <v>818.85</v>
      </c>
      <c r="T725" s="36">
        <f t="shared" si="90"/>
        <v>826.08</v>
      </c>
    </row>
    <row r="726" spans="1:20">
      <c r="A726" s="28">
        <v>45923</v>
      </c>
      <c r="B726" s="29" t="s">
        <v>1128</v>
      </c>
      <c r="C726" s="29" t="s">
        <v>1129</v>
      </c>
      <c r="D726" s="29" t="s">
        <v>1130</v>
      </c>
      <c r="E726" s="29" t="s">
        <v>1574</v>
      </c>
      <c r="F726" s="29">
        <f t="shared" si="91"/>
        <v>2025</v>
      </c>
      <c r="G726" s="29" t="str">
        <f t="shared" si="92"/>
        <v>September</v>
      </c>
      <c r="H726" s="30">
        <v>135555</v>
      </c>
      <c r="I726" s="30">
        <v>6016</v>
      </c>
      <c r="J726" s="31">
        <v>1132</v>
      </c>
      <c r="K726" s="31">
        <v>528</v>
      </c>
      <c r="L726" s="31">
        <v>291</v>
      </c>
      <c r="M726" s="32">
        <v>61223.53</v>
      </c>
      <c r="N726" s="32">
        <v>2126629.76</v>
      </c>
      <c r="O726" s="33">
        <f t="shared" si="95"/>
        <v>4.44</v>
      </c>
      <c r="P726" s="34">
        <f t="shared" si="93"/>
        <v>54.084390459364</v>
      </c>
      <c r="Q726" s="35">
        <f t="shared" si="94"/>
        <v>34.7354972834791</v>
      </c>
      <c r="R726" s="35">
        <f t="shared" si="88"/>
        <v>10.1767835771277</v>
      </c>
      <c r="S726" s="33">
        <f t="shared" si="89"/>
        <v>451.65</v>
      </c>
      <c r="T726" s="36">
        <f t="shared" si="90"/>
        <v>3373.55</v>
      </c>
    </row>
    <row r="727" spans="1:20">
      <c r="A727" s="37">
        <v>45924</v>
      </c>
      <c r="B727" s="38" t="s">
        <v>1128</v>
      </c>
      <c r="C727" s="38" t="s">
        <v>1129</v>
      </c>
      <c r="D727" s="38" t="s">
        <v>1130</v>
      </c>
      <c r="E727" s="38" t="s">
        <v>1574</v>
      </c>
      <c r="F727" s="38">
        <f t="shared" si="91"/>
        <v>2025</v>
      </c>
      <c r="G727" s="38" t="str">
        <f t="shared" si="92"/>
        <v>September</v>
      </c>
      <c r="H727" s="30">
        <v>170800</v>
      </c>
      <c r="I727" s="30">
        <v>9993</v>
      </c>
      <c r="J727" s="39">
        <v>1997</v>
      </c>
      <c r="K727" s="39">
        <v>1153</v>
      </c>
      <c r="L727" s="39">
        <v>565</v>
      </c>
      <c r="M727" s="40">
        <v>123954.87</v>
      </c>
      <c r="N727" s="40">
        <v>3933314.72</v>
      </c>
      <c r="O727" s="33">
        <f t="shared" si="95"/>
        <v>5.85</v>
      </c>
      <c r="P727" s="34">
        <f t="shared" si="93"/>
        <v>62.0705408112168</v>
      </c>
      <c r="Q727" s="35">
        <f t="shared" si="94"/>
        <v>31.7318288502904</v>
      </c>
      <c r="R727" s="35">
        <f t="shared" si="88"/>
        <v>12.4041699189433</v>
      </c>
      <c r="S727" s="33">
        <f t="shared" si="89"/>
        <v>725.73</v>
      </c>
      <c r="T727" s="36">
        <f t="shared" si="90"/>
        <v>3073.18</v>
      </c>
    </row>
    <row r="728" spans="1:20">
      <c r="A728" s="28">
        <v>45925</v>
      </c>
      <c r="B728" s="29" t="s">
        <v>1128</v>
      </c>
      <c r="C728" s="29" t="s">
        <v>1129</v>
      </c>
      <c r="D728" s="29" t="s">
        <v>1130</v>
      </c>
      <c r="E728" s="29" t="s">
        <v>1574</v>
      </c>
      <c r="F728" s="29">
        <f t="shared" si="91"/>
        <v>2025</v>
      </c>
      <c r="G728" s="29" t="str">
        <f t="shared" si="92"/>
        <v>September</v>
      </c>
      <c r="H728" s="30">
        <v>216281</v>
      </c>
      <c r="I728" s="30">
        <v>12275</v>
      </c>
      <c r="J728" s="31">
        <v>2743</v>
      </c>
      <c r="K728" s="31">
        <v>1436</v>
      </c>
      <c r="L728" s="31">
        <v>761</v>
      </c>
      <c r="M728" s="32">
        <v>153644.3</v>
      </c>
      <c r="N728" s="32">
        <v>4620519.83</v>
      </c>
      <c r="O728" s="33">
        <f t="shared" si="95"/>
        <v>5.68</v>
      </c>
      <c r="P728" s="34">
        <f t="shared" si="93"/>
        <v>56.0132336857455</v>
      </c>
      <c r="Q728" s="35">
        <f t="shared" si="94"/>
        <v>30.0728359594206</v>
      </c>
      <c r="R728" s="35">
        <f t="shared" si="88"/>
        <v>12.5168472505092</v>
      </c>
      <c r="S728" s="33">
        <f t="shared" si="89"/>
        <v>710.39</v>
      </c>
      <c r="T728" s="36">
        <f t="shared" si="90"/>
        <v>2907.28</v>
      </c>
    </row>
    <row r="729" spans="1:20">
      <c r="A729" s="37">
        <v>45926</v>
      </c>
      <c r="B729" s="38" t="s">
        <v>1128</v>
      </c>
      <c r="C729" s="38" t="s">
        <v>1129</v>
      </c>
      <c r="D729" s="38" t="s">
        <v>1130</v>
      </c>
      <c r="E729" s="38" t="s">
        <v>1574</v>
      </c>
      <c r="F729" s="38">
        <f t="shared" si="91"/>
        <v>2025</v>
      </c>
      <c r="G729" s="38" t="str">
        <f t="shared" si="92"/>
        <v>September</v>
      </c>
      <c r="H729" s="30">
        <v>288814</v>
      </c>
      <c r="I729" s="30">
        <v>15144</v>
      </c>
      <c r="J729" s="39">
        <v>3229</v>
      </c>
      <c r="K729" s="39">
        <v>1667</v>
      </c>
      <c r="L729" s="39">
        <v>717</v>
      </c>
      <c r="M729" s="40">
        <v>184629.3</v>
      </c>
      <c r="N729" s="40">
        <v>5541722.66</v>
      </c>
      <c r="O729" s="33">
        <f t="shared" si="95"/>
        <v>5.24</v>
      </c>
      <c r="P729" s="34">
        <f t="shared" si="93"/>
        <v>57.1784763084546</v>
      </c>
      <c r="Q729" s="35">
        <f t="shared" si="94"/>
        <v>30.0154019974078</v>
      </c>
      <c r="R729" s="35">
        <f t="shared" si="88"/>
        <v>12.1915808240887</v>
      </c>
      <c r="S729" s="33">
        <f t="shared" si="89"/>
        <v>639.27</v>
      </c>
      <c r="T729" s="36">
        <f t="shared" si="90"/>
        <v>2901.54</v>
      </c>
    </row>
    <row r="730" spans="1:20">
      <c r="A730" s="28">
        <v>45927</v>
      </c>
      <c r="B730" s="29" t="s">
        <v>1128</v>
      </c>
      <c r="C730" s="29" t="s">
        <v>1129</v>
      </c>
      <c r="D730" s="29" t="s">
        <v>1130</v>
      </c>
      <c r="E730" s="29" t="s">
        <v>1574</v>
      </c>
      <c r="F730" s="29">
        <f t="shared" si="91"/>
        <v>2025</v>
      </c>
      <c r="G730" s="29" t="str">
        <f t="shared" si="92"/>
        <v>September</v>
      </c>
      <c r="H730" s="30">
        <v>63287</v>
      </c>
      <c r="I730" s="30">
        <v>2103</v>
      </c>
      <c r="J730" s="31">
        <v>392</v>
      </c>
      <c r="K730" s="31">
        <v>234</v>
      </c>
      <c r="L730" s="31">
        <v>105</v>
      </c>
      <c r="M730" s="32">
        <v>40525.23</v>
      </c>
      <c r="N730" s="32">
        <v>774682.1</v>
      </c>
      <c r="O730" s="33">
        <f t="shared" si="95"/>
        <v>3.32</v>
      </c>
      <c r="P730" s="34">
        <f t="shared" si="93"/>
        <v>103.38068877551</v>
      </c>
      <c r="Q730" s="35">
        <f t="shared" si="94"/>
        <v>19.1160444986987</v>
      </c>
      <c r="R730" s="35">
        <f t="shared" si="88"/>
        <v>19.2701997146933</v>
      </c>
      <c r="S730" s="33">
        <f t="shared" si="89"/>
        <v>640.34</v>
      </c>
      <c r="T730" s="36">
        <f t="shared" si="90"/>
        <v>1811.6</v>
      </c>
    </row>
    <row r="731" spans="1:20">
      <c r="A731" s="37">
        <v>45928</v>
      </c>
      <c r="B731" s="38" t="s">
        <v>1128</v>
      </c>
      <c r="C731" s="38" t="s">
        <v>1129</v>
      </c>
      <c r="D731" s="38" t="s">
        <v>1130</v>
      </c>
      <c r="E731" s="38" t="s">
        <v>1574</v>
      </c>
      <c r="F731" s="38">
        <f t="shared" si="91"/>
        <v>2025</v>
      </c>
      <c r="G731" s="38" t="str">
        <f t="shared" si="92"/>
        <v>September</v>
      </c>
      <c r="H731" s="30">
        <v>84362</v>
      </c>
      <c r="I731" s="30">
        <v>5530</v>
      </c>
      <c r="J731" s="39">
        <v>851</v>
      </c>
      <c r="K731" s="39">
        <v>502</v>
      </c>
      <c r="L731" s="39">
        <v>294</v>
      </c>
      <c r="M731" s="40">
        <v>70942.7</v>
      </c>
      <c r="N731" s="40">
        <v>1046903.01</v>
      </c>
      <c r="O731" s="33">
        <f t="shared" si="95"/>
        <v>6.56</v>
      </c>
      <c r="P731" s="34">
        <f t="shared" si="93"/>
        <v>83.3639247943596</v>
      </c>
      <c r="Q731" s="35">
        <f t="shared" si="94"/>
        <v>14.7570223574801</v>
      </c>
      <c r="R731" s="35">
        <f t="shared" si="88"/>
        <v>12.8286980108499</v>
      </c>
      <c r="S731" s="33">
        <f t="shared" si="89"/>
        <v>840.93</v>
      </c>
      <c r="T731" s="36">
        <f t="shared" si="90"/>
        <v>1375.7</v>
      </c>
    </row>
    <row r="732" spans="1:20">
      <c r="A732" s="28">
        <v>45929</v>
      </c>
      <c r="B732" s="29" t="s">
        <v>1128</v>
      </c>
      <c r="C732" s="29" t="s">
        <v>1129</v>
      </c>
      <c r="D732" s="29" t="s">
        <v>1130</v>
      </c>
      <c r="E732" s="29" t="s">
        <v>1574</v>
      </c>
      <c r="F732" s="29">
        <f t="shared" si="91"/>
        <v>2025</v>
      </c>
      <c r="G732" s="29" t="str">
        <f t="shared" si="92"/>
        <v>September</v>
      </c>
      <c r="H732" s="30">
        <v>183268</v>
      </c>
      <c r="I732" s="30">
        <v>7046</v>
      </c>
      <c r="J732" s="31">
        <v>1579</v>
      </c>
      <c r="K732" s="31">
        <v>810</v>
      </c>
      <c r="L732" s="31">
        <v>481</v>
      </c>
      <c r="M732" s="32">
        <v>179224.85</v>
      </c>
      <c r="N732" s="32">
        <v>2698270.88</v>
      </c>
      <c r="O732" s="33">
        <f t="shared" si="95"/>
        <v>3.84</v>
      </c>
      <c r="P732" s="34">
        <f t="shared" si="93"/>
        <v>113.505288157061</v>
      </c>
      <c r="Q732" s="35">
        <f t="shared" si="94"/>
        <v>15.0552274419535</v>
      </c>
      <c r="R732" s="35">
        <f t="shared" si="88"/>
        <v>25.4363965370423</v>
      </c>
      <c r="S732" s="33">
        <f t="shared" si="89"/>
        <v>977.94</v>
      </c>
      <c r="T732" s="36">
        <f t="shared" si="90"/>
        <v>1405.52</v>
      </c>
    </row>
    <row r="733" spans="1:20">
      <c r="A733" s="37">
        <v>45930</v>
      </c>
      <c r="B733" s="38" t="s">
        <v>1128</v>
      </c>
      <c r="C733" s="38" t="s">
        <v>1129</v>
      </c>
      <c r="D733" s="38" t="s">
        <v>1130</v>
      </c>
      <c r="E733" s="38" t="s">
        <v>1574</v>
      </c>
      <c r="F733" s="38">
        <f t="shared" si="91"/>
        <v>2025</v>
      </c>
      <c r="G733" s="38" t="str">
        <f t="shared" si="92"/>
        <v>September</v>
      </c>
      <c r="H733" s="30">
        <v>262678</v>
      </c>
      <c r="I733" s="30">
        <v>8632</v>
      </c>
      <c r="J733" s="39">
        <v>1659</v>
      </c>
      <c r="K733" s="39">
        <v>1014</v>
      </c>
      <c r="L733" s="39">
        <v>452</v>
      </c>
      <c r="M733" s="40">
        <v>114033.33</v>
      </c>
      <c r="N733" s="40">
        <v>3043417.73</v>
      </c>
      <c r="O733" s="33">
        <f t="shared" si="95"/>
        <v>3.29</v>
      </c>
      <c r="P733" s="34">
        <f t="shared" si="93"/>
        <v>68.7361844484629</v>
      </c>
      <c r="Q733" s="35">
        <f t="shared" si="94"/>
        <v>26.6888437792705</v>
      </c>
      <c r="R733" s="35">
        <f t="shared" si="88"/>
        <v>13.2105340593142</v>
      </c>
      <c r="S733" s="33">
        <f t="shared" si="89"/>
        <v>434.12</v>
      </c>
      <c r="T733" s="36">
        <f t="shared" si="90"/>
        <v>2568.88</v>
      </c>
    </row>
    <row r="734" spans="1:20">
      <c r="A734" s="28">
        <v>45667</v>
      </c>
      <c r="B734" s="29" t="s">
        <v>1128</v>
      </c>
      <c r="C734" s="29" t="s">
        <v>1129</v>
      </c>
      <c r="D734" s="29" t="s">
        <v>1130</v>
      </c>
      <c r="E734" s="29" t="s">
        <v>1574</v>
      </c>
      <c r="F734" s="29">
        <f t="shared" si="91"/>
        <v>2025</v>
      </c>
      <c r="G734" s="29" t="str">
        <f t="shared" si="92"/>
        <v>January</v>
      </c>
      <c r="H734" s="30">
        <v>96963</v>
      </c>
      <c r="I734" s="30">
        <v>4818</v>
      </c>
      <c r="J734" s="31">
        <v>1033</v>
      </c>
      <c r="K734" s="31">
        <v>523</v>
      </c>
      <c r="L734" s="31">
        <v>239</v>
      </c>
      <c r="M734" s="32">
        <v>77182.98</v>
      </c>
      <c r="N734" s="32">
        <v>921080.74</v>
      </c>
      <c r="O734" s="33">
        <f t="shared" si="95"/>
        <v>4.97</v>
      </c>
      <c r="P734" s="34">
        <f t="shared" si="93"/>
        <v>74.7173088092933</v>
      </c>
      <c r="Q734" s="35">
        <f t="shared" si="94"/>
        <v>11.9337286536488</v>
      </c>
      <c r="R734" s="35">
        <f t="shared" si="88"/>
        <v>16.0197135740971</v>
      </c>
      <c r="S734" s="33">
        <f t="shared" si="89"/>
        <v>796</v>
      </c>
      <c r="T734" s="36">
        <f t="shared" si="90"/>
        <v>1093.37</v>
      </c>
    </row>
    <row r="735" spans="1:20">
      <c r="A735" s="37">
        <v>45698</v>
      </c>
      <c r="B735" s="38" t="s">
        <v>1128</v>
      </c>
      <c r="C735" s="38" t="s">
        <v>1129</v>
      </c>
      <c r="D735" s="38" t="s">
        <v>1130</v>
      </c>
      <c r="E735" s="38" t="s">
        <v>1574</v>
      </c>
      <c r="F735" s="38">
        <f t="shared" si="91"/>
        <v>2025</v>
      </c>
      <c r="G735" s="38" t="str">
        <f t="shared" si="92"/>
        <v>February</v>
      </c>
      <c r="H735" s="30">
        <v>238932</v>
      </c>
      <c r="I735" s="30">
        <v>17897</v>
      </c>
      <c r="J735" s="39">
        <v>3400</v>
      </c>
      <c r="K735" s="39">
        <v>1696</v>
      </c>
      <c r="L735" s="39">
        <v>835</v>
      </c>
      <c r="M735" s="40">
        <v>154238.89</v>
      </c>
      <c r="N735" s="40">
        <v>3986006.43</v>
      </c>
      <c r="O735" s="33">
        <f t="shared" si="95"/>
        <v>7.49</v>
      </c>
      <c r="P735" s="34">
        <f t="shared" si="93"/>
        <v>45.3643794117647</v>
      </c>
      <c r="Q735" s="35">
        <f t="shared" si="94"/>
        <v>25.8430699935665</v>
      </c>
      <c r="R735" s="35">
        <f t="shared" si="88"/>
        <v>8.6181421467285</v>
      </c>
      <c r="S735" s="33">
        <f t="shared" si="89"/>
        <v>645.53</v>
      </c>
      <c r="T735" s="36">
        <f t="shared" si="90"/>
        <v>2484.31</v>
      </c>
    </row>
    <row r="736" spans="1:20">
      <c r="A736" s="28">
        <v>45726</v>
      </c>
      <c r="B736" s="29" t="s">
        <v>1128</v>
      </c>
      <c r="C736" s="29" t="s">
        <v>1129</v>
      </c>
      <c r="D736" s="29" t="s">
        <v>1130</v>
      </c>
      <c r="E736" s="29" t="s">
        <v>1574</v>
      </c>
      <c r="F736" s="29">
        <f t="shared" si="91"/>
        <v>2025</v>
      </c>
      <c r="G736" s="29" t="str">
        <f t="shared" si="92"/>
        <v>March</v>
      </c>
      <c r="H736" s="30">
        <v>86613</v>
      </c>
      <c r="I736" s="30">
        <v>4270</v>
      </c>
      <c r="J736" s="31">
        <v>804</v>
      </c>
      <c r="K736" s="31">
        <v>520</v>
      </c>
      <c r="L736" s="31">
        <v>293</v>
      </c>
      <c r="M736" s="32">
        <v>81879.25</v>
      </c>
      <c r="N736" s="32">
        <v>2002746.27</v>
      </c>
      <c r="O736" s="33">
        <f t="shared" si="95"/>
        <v>4.93</v>
      </c>
      <c r="P736" s="34">
        <f t="shared" si="93"/>
        <v>101.83986318408</v>
      </c>
      <c r="Q736" s="35">
        <f t="shared" si="94"/>
        <v>24.4597534784454</v>
      </c>
      <c r="R736" s="35">
        <f t="shared" si="88"/>
        <v>19.1754683840749</v>
      </c>
      <c r="S736" s="33">
        <f t="shared" si="89"/>
        <v>945.35</v>
      </c>
      <c r="T736" s="36">
        <f t="shared" si="90"/>
        <v>2345.98</v>
      </c>
    </row>
    <row r="737" spans="1:20">
      <c r="A737" s="37">
        <v>45757</v>
      </c>
      <c r="B737" s="38" t="s">
        <v>1128</v>
      </c>
      <c r="C737" s="38" t="s">
        <v>1129</v>
      </c>
      <c r="D737" s="38" t="s">
        <v>1130</v>
      </c>
      <c r="E737" s="38" t="s">
        <v>1574</v>
      </c>
      <c r="F737" s="38">
        <f t="shared" si="91"/>
        <v>2025</v>
      </c>
      <c r="G737" s="38" t="str">
        <f t="shared" si="92"/>
        <v>April</v>
      </c>
      <c r="H737" s="30">
        <v>133105</v>
      </c>
      <c r="I737" s="30">
        <v>6571</v>
      </c>
      <c r="J737" s="39">
        <v>1269</v>
      </c>
      <c r="K737" s="39">
        <v>758</v>
      </c>
      <c r="L737" s="39">
        <v>414</v>
      </c>
      <c r="M737" s="40">
        <v>125866.36</v>
      </c>
      <c r="N737" s="40">
        <v>2149460.89</v>
      </c>
      <c r="O737" s="33">
        <f t="shared" si="95"/>
        <v>4.94</v>
      </c>
      <c r="P737" s="34">
        <f t="shared" si="93"/>
        <v>99.1854688731284</v>
      </c>
      <c r="Q737" s="35">
        <f t="shared" si="94"/>
        <v>17.0773262212397</v>
      </c>
      <c r="R737" s="35">
        <f t="shared" si="88"/>
        <v>19.1548257495054</v>
      </c>
      <c r="S737" s="33">
        <f t="shared" si="89"/>
        <v>945.62</v>
      </c>
      <c r="T737" s="36">
        <f t="shared" si="90"/>
        <v>1607.73</v>
      </c>
    </row>
    <row r="738" spans="1:20">
      <c r="A738" s="28">
        <v>45787</v>
      </c>
      <c r="B738" s="29" t="s">
        <v>1128</v>
      </c>
      <c r="C738" s="29" t="s">
        <v>1129</v>
      </c>
      <c r="D738" s="29" t="s">
        <v>1130</v>
      </c>
      <c r="E738" s="29" t="s">
        <v>1574</v>
      </c>
      <c r="F738" s="29">
        <f t="shared" si="91"/>
        <v>2025</v>
      </c>
      <c r="G738" s="29" t="str">
        <f t="shared" si="92"/>
        <v>May</v>
      </c>
      <c r="H738" s="30">
        <v>277734</v>
      </c>
      <c r="I738" s="30">
        <v>16825</v>
      </c>
      <c r="J738" s="31">
        <v>4065</v>
      </c>
      <c r="K738" s="31">
        <v>1971</v>
      </c>
      <c r="L738" s="31">
        <v>1056</v>
      </c>
      <c r="M738" s="32">
        <v>248427.75</v>
      </c>
      <c r="N738" s="32">
        <v>5043350.97</v>
      </c>
      <c r="O738" s="33">
        <f t="shared" si="95"/>
        <v>6.06</v>
      </c>
      <c r="P738" s="34">
        <f t="shared" si="93"/>
        <v>61.1138376383764</v>
      </c>
      <c r="Q738" s="35">
        <f t="shared" si="94"/>
        <v>20.3010773554887</v>
      </c>
      <c r="R738" s="35">
        <f t="shared" si="88"/>
        <v>14.7653937592868</v>
      </c>
      <c r="S738" s="33">
        <f t="shared" si="89"/>
        <v>894.48</v>
      </c>
      <c r="T738" s="36">
        <f t="shared" si="90"/>
        <v>1930.11</v>
      </c>
    </row>
    <row r="739" spans="1:20">
      <c r="A739" s="37">
        <v>45818</v>
      </c>
      <c r="B739" s="38" t="s">
        <v>1128</v>
      </c>
      <c r="C739" s="38" t="s">
        <v>1129</v>
      </c>
      <c r="D739" s="38" t="s">
        <v>1130</v>
      </c>
      <c r="E739" s="38" t="s">
        <v>1574</v>
      </c>
      <c r="F739" s="38">
        <f t="shared" si="91"/>
        <v>2025</v>
      </c>
      <c r="G739" s="38" t="str">
        <f t="shared" si="92"/>
        <v>June</v>
      </c>
      <c r="H739" s="30">
        <v>116985</v>
      </c>
      <c r="I739" s="30">
        <v>8242</v>
      </c>
      <c r="J739" s="39">
        <v>1752</v>
      </c>
      <c r="K739" s="39">
        <v>845</v>
      </c>
      <c r="L739" s="39">
        <v>384</v>
      </c>
      <c r="M739" s="40">
        <v>92101.9</v>
      </c>
      <c r="N739" s="40">
        <v>2994088.87</v>
      </c>
      <c r="O739" s="33">
        <f t="shared" si="95"/>
        <v>7.05</v>
      </c>
      <c r="P739" s="34">
        <f t="shared" si="93"/>
        <v>52.5695776255708</v>
      </c>
      <c r="Q739" s="35">
        <f t="shared" si="94"/>
        <v>32.5084376109505</v>
      </c>
      <c r="R739" s="35">
        <f t="shared" si="88"/>
        <v>11.1747027420529</v>
      </c>
      <c r="S739" s="33">
        <f t="shared" si="89"/>
        <v>787.3</v>
      </c>
      <c r="T739" s="36">
        <f t="shared" si="90"/>
        <v>3150.84</v>
      </c>
    </row>
    <row r="740" spans="1:20">
      <c r="A740" s="28">
        <v>45848</v>
      </c>
      <c r="B740" s="29" t="s">
        <v>1128</v>
      </c>
      <c r="C740" s="29" t="s">
        <v>1129</v>
      </c>
      <c r="D740" s="29" t="s">
        <v>1130</v>
      </c>
      <c r="E740" s="29" t="s">
        <v>1574</v>
      </c>
      <c r="F740" s="29">
        <f t="shared" si="91"/>
        <v>2025</v>
      </c>
      <c r="G740" s="29" t="str">
        <f t="shared" si="92"/>
        <v>July</v>
      </c>
      <c r="H740" s="30">
        <v>229002</v>
      </c>
      <c r="I740" s="30">
        <v>17513</v>
      </c>
      <c r="J740" s="31">
        <v>3683</v>
      </c>
      <c r="K740" s="31">
        <v>2365</v>
      </c>
      <c r="L740" s="31">
        <v>1189</v>
      </c>
      <c r="M740" s="32">
        <v>161077.87</v>
      </c>
      <c r="N740" s="32">
        <v>9344118.66</v>
      </c>
      <c r="O740" s="33">
        <f t="shared" si="95"/>
        <v>7.65</v>
      </c>
      <c r="P740" s="34">
        <f t="shared" si="93"/>
        <v>43.7355063806679</v>
      </c>
      <c r="Q740" s="35">
        <f t="shared" si="94"/>
        <v>58.0099467419081</v>
      </c>
      <c r="R740" s="35">
        <f t="shared" si="88"/>
        <v>9.19761719865243</v>
      </c>
      <c r="S740" s="33">
        <f t="shared" si="89"/>
        <v>703.39</v>
      </c>
      <c r="T740" s="36">
        <f t="shared" si="90"/>
        <v>5700.99</v>
      </c>
    </row>
    <row r="741" spans="1:20">
      <c r="A741" s="37">
        <v>45879</v>
      </c>
      <c r="B741" s="38" t="s">
        <v>1128</v>
      </c>
      <c r="C741" s="38" t="s">
        <v>1129</v>
      </c>
      <c r="D741" s="38" t="s">
        <v>1130</v>
      </c>
      <c r="E741" s="38" t="s">
        <v>1574</v>
      </c>
      <c r="F741" s="38">
        <f t="shared" si="91"/>
        <v>2025</v>
      </c>
      <c r="G741" s="38" t="str">
        <f t="shared" si="92"/>
        <v>August</v>
      </c>
      <c r="H741" s="30">
        <v>190424</v>
      </c>
      <c r="I741" s="30">
        <v>10827</v>
      </c>
      <c r="J741" s="39">
        <v>2153</v>
      </c>
      <c r="K741" s="39">
        <v>1389</v>
      </c>
      <c r="L741" s="39">
        <v>633</v>
      </c>
      <c r="M741" s="40">
        <v>105225</v>
      </c>
      <c r="N741" s="40">
        <v>3490888.31</v>
      </c>
      <c r="O741" s="33">
        <f t="shared" si="95"/>
        <v>5.69</v>
      </c>
      <c r="P741" s="34">
        <f t="shared" si="93"/>
        <v>48.8736646539712</v>
      </c>
      <c r="Q741" s="35">
        <f t="shared" si="94"/>
        <v>33.175465051081</v>
      </c>
      <c r="R741" s="35">
        <f t="shared" ref="R741:R764" si="96">(M741/I741)</f>
        <v>9.71875865890829</v>
      </c>
      <c r="S741" s="33">
        <f t="shared" si="89"/>
        <v>552.58</v>
      </c>
      <c r="T741" s="36">
        <f t="shared" si="90"/>
        <v>3217.55</v>
      </c>
    </row>
    <row r="742" spans="1:20">
      <c r="A742" s="28">
        <v>45910</v>
      </c>
      <c r="B742" s="29" t="s">
        <v>1128</v>
      </c>
      <c r="C742" s="29" t="s">
        <v>1129</v>
      </c>
      <c r="D742" s="29" t="s">
        <v>1130</v>
      </c>
      <c r="E742" s="29" t="s">
        <v>1574</v>
      </c>
      <c r="F742" s="29">
        <f t="shared" si="91"/>
        <v>2025</v>
      </c>
      <c r="G742" s="29" t="str">
        <f t="shared" si="92"/>
        <v>September</v>
      </c>
      <c r="H742" s="30">
        <v>110972</v>
      </c>
      <c r="I742" s="30">
        <v>4268</v>
      </c>
      <c r="J742" s="31">
        <v>982</v>
      </c>
      <c r="K742" s="31">
        <v>454</v>
      </c>
      <c r="L742" s="31">
        <v>200</v>
      </c>
      <c r="M742" s="32">
        <v>97229.71</v>
      </c>
      <c r="N742" s="32">
        <v>1191628</v>
      </c>
      <c r="O742" s="33">
        <f t="shared" si="95"/>
        <v>3.85</v>
      </c>
      <c r="P742" s="34">
        <f t="shared" si="93"/>
        <v>99.0119246435845</v>
      </c>
      <c r="Q742" s="35">
        <f t="shared" si="94"/>
        <v>12.2558012360625</v>
      </c>
      <c r="R742" s="35">
        <f t="shared" si="96"/>
        <v>22.7810941893158</v>
      </c>
      <c r="S742" s="33">
        <f t="shared" si="89"/>
        <v>876.16</v>
      </c>
      <c r="T742" s="36">
        <f t="shared" si="90"/>
        <v>1125.58</v>
      </c>
    </row>
    <row r="743" spans="1:20">
      <c r="A743" s="37">
        <v>45940</v>
      </c>
      <c r="B743" s="38" t="s">
        <v>1128</v>
      </c>
      <c r="C743" s="38" t="s">
        <v>1129</v>
      </c>
      <c r="D743" s="38" t="s">
        <v>1130</v>
      </c>
      <c r="E743" s="38" t="s">
        <v>1574</v>
      </c>
      <c r="F743" s="38">
        <f t="shared" si="91"/>
        <v>2025</v>
      </c>
      <c r="G743" s="38" t="str">
        <f t="shared" si="92"/>
        <v>October</v>
      </c>
      <c r="H743" s="30">
        <v>90691</v>
      </c>
      <c r="I743" s="30">
        <v>6497</v>
      </c>
      <c r="J743" s="39">
        <v>1168</v>
      </c>
      <c r="K743" s="39">
        <v>594</v>
      </c>
      <c r="L743" s="39">
        <v>242</v>
      </c>
      <c r="M743" s="40">
        <v>54234.25</v>
      </c>
      <c r="N743" s="40">
        <v>815080.48</v>
      </c>
      <c r="O743" s="33">
        <f t="shared" si="95"/>
        <v>7.16</v>
      </c>
      <c r="P743" s="34">
        <f t="shared" si="93"/>
        <v>46.4334332191781</v>
      </c>
      <c r="Q743" s="35">
        <f t="shared" si="94"/>
        <v>15.0288882025657</v>
      </c>
      <c r="R743" s="35">
        <f t="shared" si="96"/>
        <v>8.34758350007696</v>
      </c>
      <c r="S743" s="33">
        <f t="shared" si="89"/>
        <v>598.01</v>
      </c>
      <c r="T743" s="36">
        <f t="shared" si="90"/>
        <v>1402.89</v>
      </c>
    </row>
    <row r="744" spans="1:20">
      <c r="A744" s="28">
        <v>45971</v>
      </c>
      <c r="B744" s="29" t="s">
        <v>1128</v>
      </c>
      <c r="C744" s="29" t="s">
        <v>1129</v>
      </c>
      <c r="D744" s="29" t="s">
        <v>1130</v>
      </c>
      <c r="E744" s="29" t="s">
        <v>1574</v>
      </c>
      <c r="F744" s="29">
        <f t="shared" si="91"/>
        <v>2025</v>
      </c>
      <c r="G744" s="29" t="str">
        <f t="shared" si="92"/>
        <v>November</v>
      </c>
      <c r="H744" s="30">
        <v>58157</v>
      </c>
      <c r="I744" s="30">
        <v>3232</v>
      </c>
      <c r="J744" s="31">
        <v>534</v>
      </c>
      <c r="K744" s="31">
        <v>257</v>
      </c>
      <c r="L744" s="31">
        <v>110</v>
      </c>
      <c r="M744" s="32">
        <v>53956</v>
      </c>
      <c r="N744" s="32">
        <v>475326.81</v>
      </c>
      <c r="O744" s="33">
        <f t="shared" si="95"/>
        <v>5.56</v>
      </c>
      <c r="P744" s="34">
        <f t="shared" si="93"/>
        <v>101.041198501873</v>
      </c>
      <c r="Q744" s="35">
        <f t="shared" si="94"/>
        <v>8.80952646600934</v>
      </c>
      <c r="R744" s="35">
        <f t="shared" si="96"/>
        <v>16.6943069306931</v>
      </c>
      <c r="S744" s="33">
        <f t="shared" si="89"/>
        <v>927.76</v>
      </c>
      <c r="T744" s="36">
        <f t="shared" si="90"/>
        <v>780.95</v>
      </c>
    </row>
    <row r="745" spans="1:20">
      <c r="A745" s="37">
        <v>46001</v>
      </c>
      <c r="B745" s="38" t="s">
        <v>1128</v>
      </c>
      <c r="C745" s="38" t="s">
        <v>1129</v>
      </c>
      <c r="D745" s="38" t="s">
        <v>1130</v>
      </c>
      <c r="E745" s="38" t="s">
        <v>1574</v>
      </c>
      <c r="F745" s="38">
        <f t="shared" si="91"/>
        <v>2025</v>
      </c>
      <c r="G745" s="38" t="str">
        <f t="shared" si="92"/>
        <v>December</v>
      </c>
      <c r="H745" s="30">
        <v>135976</v>
      </c>
      <c r="I745" s="30">
        <v>10257</v>
      </c>
      <c r="J745" s="39">
        <v>1702</v>
      </c>
      <c r="K745" s="39">
        <v>1092</v>
      </c>
      <c r="L745" s="39">
        <v>457</v>
      </c>
      <c r="M745" s="40">
        <v>95285.12</v>
      </c>
      <c r="N745" s="40">
        <v>1968745.07</v>
      </c>
      <c r="O745" s="33">
        <f t="shared" si="95"/>
        <v>7.54</v>
      </c>
      <c r="P745" s="34">
        <f t="shared" si="93"/>
        <v>55.9842068155112</v>
      </c>
      <c r="Q745" s="35">
        <f t="shared" si="94"/>
        <v>20.6616213528408</v>
      </c>
      <c r="R745" s="35">
        <f t="shared" si="96"/>
        <v>9.28976503851029</v>
      </c>
      <c r="S745" s="33">
        <f t="shared" ref="S745:S764" si="97">ROUND(M745/H745*1000,2)</f>
        <v>700.75</v>
      </c>
      <c r="T745" s="36">
        <f t="shared" si="90"/>
        <v>1966.16</v>
      </c>
    </row>
    <row r="746" spans="1:20">
      <c r="A746" s="28">
        <v>45943</v>
      </c>
      <c r="B746" s="29" t="s">
        <v>1128</v>
      </c>
      <c r="C746" s="29" t="s">
        <v>1129</v>
      </c>
      <c r="D746" s="29" t="s">
        <v>1130</v>
      </c>
      <c r="E746" s="29" t="s">
        <v>1574</v>
      </c>
      <c r="F746" s="29">
        <f t="shared" si="91"/>
        <v>2025</v>
      </c>
      <c r="G746" s="29" t="str">
        <f t="shared" si="92"/>
        <v>October</v>
      </c>
      <c r="H746" s="30">
        <v>75257</v>
      </c>
      <c r="I746" s="30">
        <v>2399</v>
      </c>
      <c r="J746" s="31">
        <v>411</v>
      </c>
      <c r="K746" s="31">
        <v>199</v>
      </c>
      <c r="L746" s="31">
        <v>112</v>
      </c>
      <c r="M746" s="32">
        <v>34218.43</v>
      </c>
      <c r="N746" s="32">
        <v>450838.11</v>
      </c>
      <c r="O746" s="33">
        <f t="shared" si="95"/>
        <v>3.19</v>
      </c>
      <c r="P746" s="34">
        <f t="shared" si="93"/>
        <v>83.2565206812652</v>
      </c>
      <c r="Q746" s="35">
        <f t="shared" si="94"/>
        <v>13.175300853955</v>
      </c>
      <c r="R746" s="35">
        <f t="shared" si="96"/>
        <v>14.2636223426428</v>
      </c>
      <c r="S746" s="33">
        <f t="shared" si="97"/>
        <v>454.69</v>
      </c>
      <c r="T746" s="36">
        <f t="shared" si="90"/>
        <v>1217.53</v>
      </c>
    </row>
    <row r="747" spans="1:20">
      <c r="A747" s="37">
        <v>45944</v>
      </c>
      <c r="B747" s="38" t="s">
        <v>1128</v>
      </c>
      <c r="C747" s="38" t="s">
        <v>1129</v>
      </c>
      <c r="D747" s="38" t="s">
        <v>1130</v>
      </c>
      <c r="E747" s="38" t="s">
        <v>1574</v>
      </c>
      <c r="F747" s="38">
        <f t="shared" si="91"/>
        <v>2025</v>
      </c>
      <c r="G747" s="38" t="str">
        <f t="shared" si="92"/>
        <v>October</v>
      </c>
      <c r="H747" s="30">
        <v>198364</v>
      </c>
      <c r="I747" s="30">
        <v>13118</v>
      </c>
      <c r="J747" s="39">
        <v>1984</v>
      </c>
      <c r="K747" s="39">
        <v>1175</v>
      </c>
      <c r="L747" s="39">
        <v>480</v>
      </c>
      <c r="M747" s="40">
        <v>91490.04</v>
      </c>
      <c r="N747" s="40">
        <v>2452250.17</v>
      </c>
      <c r="O747" s="33">
        <f t="shared" si="95"/>
        <v>6.61</v>
      </c>
      <c r="P747" s="34">
        <f t="shared" si="93"/>
        <v>46.1139314516129</v>
      </c>
      <c r="Q747" s="35">
        <f t="shared" si="94"/>
        <v>26.8034659291875</v>
      </c>
      <c r="R747" s="35">
        <f t="shared" si="96"/>
        <v>6.97438938862631</v>
      </c>
      <c r="S747" s="33">
        <f t="shared" si="97"/>
        <v>461.22</v>
      </c>
      <c r="T747" s="36">
        <f t="shared" si="90"/>
        <v>2580.35</v>
      </c>
    </row>
    <row r="748" spans="1:20">
      <c r="A748" s="28">
        <v>45945</v>
      </c>
      <c r="B748" s="29" t="s">
        <v>1128</v>
      </c>
      <c r="C748" s="29" t="s">
        <v>1129</v>
      </c>
      <c r="D748" s="29" t="s">
        <v>1130</v>
      </c>
      <c r="E748" s="29" t="s">
        <v>1574</v>
      </c>
      <c r="F748" s="29">
        <f t="shared" si="91"/>
        <v>2025</v>
      </c>
      <c r="G748" s="29" t="str">
        <f t="shared" si="92"/>
        <v>October</v>
      </c>
      <c r="H748" s="30">
        <v>295919</v>
      </c>
      <c r="I748" s="30">
        <v>17609</v>
      </c>
      <c r="J748" s="31">
        <v>3372</v>
      </c>
      <c r="K748" s="31">
        <v>1885</v>
      </c>
      <c r="L748" s="31">
        <v>798</v>
      </c>
      <c r="M748" s="32">
        <v>153865.02</v>
      </c>
      <c r="N748" s="32">
        <v>5620586.36</v>
      </c>
      <c r="O748" s="33">
        <f t="shared" si="95"/>
        <v>5.95</v>
      </c>
      <c r="P748" s="34">
        <f t="shared" si="93"/>
        <v>45.6301957295374</v>
      </c>
      <c r="Q748" s="35">
        <f t="shared" si="94"/>
        <v>36.5293317480477</v>
      </c>
      <c r="R748" s="35">
        <f t="shared" si="96"/>
        <v>8.73786245669828</v>
      </c>
      <c r="S748" s="33">
        <f t="shared" si="97"/>
        <v>519.96</v>
      </c>
      <c r="T748" s="36">
        <f t="shared" si="90"/>
        <v>3552.93</v>
      </c>
    </row>
    <row r="749" spans="1:20">
      <c r="A749" s="37">
        <v>45946</v>
      </c>
      <c r="B749" s="38" t="s">
        <v>1128</v>
      </c>
      <c r="C749" s="38" t="s">
        <v>1129</v>
      </c>
      <c r="D749" s="38" t="s">
        <v>1130</v>
      </c>
      <c r="E749" s="38" t="s">
        <v>1574</v>
      </c>
      <c r="F749" s="38">
        <f t="shared" si="91"/>
        <v>2025</v>
      </c>
      <c r="G749" s="38" t="str">
        <f t="shared" si="92"/>
        <v>October</v>
      </c>
      <c r="H749" s="30">
        <v>219192</v>
      </c>
      <c r="I749" s="30">
        <v>9561</v>
      </c>
      <c r="J749" s="39">
        <v>2253</v>
      </c>
      <c r="K749" s="39">
        <v>1253</v>
      </c>
      <c r="L749" s="39">
        <v>681</v>
      </c>
      <c r="M749" s="40">
        <v>111858.16</v>
      </c>
      <c r="N749" s="40">
        <v>2520660.98</v>
      </c>
      <c r="O749" s="33">
        <f t="shared" si="95"/>
        <v>4.36</v>
      </c>
      <c r="P749" s="34">
        <f t="shared" si="93"/>
        <v>49.6485397248114</v>
      </c>
      <c r="Q749" s="35">
        <f t="shared" si="94"/>
        <v>22.5344398656298</v>
      </c>
      <c r="R749" s="35">
        <f t="shared" si="96"/>
        <v>11.6994205627026</v>
      </c>
      <c r="S749" s="33">
        <f t="shared" si="97"/>
        <v>510.32</v>
      </c>
      <c r="T749" s="36">
        <f t="shared" si="90"/>
        <v>2153.44</v>
      </c>
    </row>
    <row r="750" spans="1:20">
      <c r="A750" s="28">
        <v>45947</v>
      </c>
      <c r="B750" s="29" t="s">
        <v>1128</v>
      </c>
      <c r="C750" s="29" t="s">
        <v>1129</v>
      </c>
      <c r="D750" s="29" t="s">
        <v>1130</v>
      </c>
      <c r="E750" s="29" t="s">
        <v>1574</v>
      </c>
      <c r="F750" s="29">
        <f t="shared" si="91"/>
        <v>2025</v>
      </c>
      <c r="G750" s="29" t="str">
        <f t="shared" si="92"/>
        <v>October</v>
      </c>
      <c r="H750" s="30">
        <v>274932</v>
      </c>
      <c r="I750" s="30">
        <v>19134</v>
      </c>
      <c r="J750" s="31">
        <v>4243</v>
      </c>
      <c r="K750" s="31">
        <v>2579</v>
      </c>
      <c r="L750" s="31">
        <v>1097</v>
      </c>
      <c r="M750" s="32">
        <v>235450.39</v>
      </c>
      <c r="N750" s="32">
        <v>5481451.67</v>
      </c>
      <c r="O750" s="33">
        <f t="shared" si="95"/>
        <v>6.96</v>
      </c>
      <c r="P750" s="34">
        <f t="shared" si="93"/>
        <v>55.4914895121376</v>
      </c>
      <c r="Q750" s="35">
        <f t="shared" si="94"/>
        <v>23.2807075409813</v>
      </c>
      <c r="R750" s="35">
        <f t="shared" si="96"/>
        <v>12.3053407546775</v>
      </c>
      <c r="S750" s="33">
        <f t="shared" si="97"/>
        <v>856.39</v>
      </c>
      <c r="T750" s="36">
        <f t="shared" ref="T750:T764" si="98">ROUND((N750-M750)/M750*100,2)</f>
        <v>2228.07</v>
      </c>
    </row>
    <row r="751" spans="1:20">
      <c r="A751" s="37">
        <v>45948</v>
      </c>
      <c r="B751" s="38" t="s">
        <v>1128</v>
      </c>
      <c r="C751" s="38" t="s">
        <v>1129</v>
      </c>
      <c r="D751" s="38" t="s">
        <v>1130</v>
      </c>
      <c r="E751" s="38" t="s">
        <v>1574</v>
      </c>
      <c r="F751" s="38">
        <f t="shared" si="91"/>
        <v>2025</v>
      </c>
      <c r="G751" s="38" t="str">
        <f t="shared" si="92"/>
        <v>October</v>
      </c>
      <c r="H751" s="30">
        <v>73891</v>
      </c>
      <c r="I751" s="30">
        <v>5322</v>
      </c>
      <c r="J751" s="39">
        <v>940</v>
      </c>
      <c r="K751" s="39">
        <v>560</v>
      </c>
      <c r="L751" s="39">
        <v>325</v>
      </c>
      <c r="M751" s="40">
        <v>30551.39</v>
      </c>
      <c r="N751" s="40">
        <v>1890046.69</v>
      </c>
      <c r="O751" s="33">
        <f t="shared" si="95"/>
        <v>7.2</v>
      </c>
      <c r="P751" s="34">
        <f t="shared" si="93"/>
        <v>32.5014787234043</v>
      </c>
      <c r="Q751" s="35">
        <f t="shared" si="94"/>
        <v>61.8645073104693</v>
      </c>
      <c r="R751" s="35">
        <f t="shared" si="96"/>
        <v>5.74058436677941</v>
      </c>
      <c r="S751" s="33">
        <f t="shared" si="97"/>
        <v>413.47</v>
      </c>
      <c r="T751" s="36">
        <f t="shared" si="98"/>
        <v>6086.45</v>
      </c>
    </row>
    <row r="752" spans="1:20">
      <c r="A752" s="28">
        <v>45949</v>
      </c>
      <c r="B752" s="29" t="s">
        <v>1128</v>
      </c>
      <c r="C752" s="29" t="s">
        <v>1129</v>
      </c>
      <c r="D752" s="29" t="s">
        <v>1130</v>
      </c>
      <c r="E752" s="29" t="s">
        <v>1574</v>
      </c>
      <c r="F752" s="29">
        <f t="shared" si="91"/>
        <v>2025</v>
      </c>
      <c r="G752" s="29" t="str">
        <f t="shared" si="92"/>
        <v>October</v>
      </c>
      <c r="H752" s="30">
        <v>78968</v>
      </c>
      <c r="I752" s="30">
        <v>2541</v>
      </c>
      <c r="J752" s="31">
        <v>471</v>
      </c>
      <c r="K752" s="31">
        <v>249</v>
      </c>
      <c r="L752" s="31">
        <v>121</v>
      </c>
      <c r="M752" s="32">
        <v>54841.39</v>
      </c>
      <c r="N752" s="32">
        <v>399316.55</v>
      </c>
      <c r="O752" s="33">
        <f t="shared" si="95"/>
        <v>3.22</v>
      </c>
      <c r="P752" s="34">
        <f t="shared" si="93"/>
        <v>116.436072186837</v>
      </c>
      <c r="Q752" s="35">
        <f t="shared" si="94"/>
        <v>7.28129885110498</v>
      </c>
      <c r="R752" s="35">
        <f t="shared" si="96"/>
        <v>21.5826013380559</v>
      </c>
      <c r="S752" s="33">
        <f t="shared" si="97"/>
        <v>694.48</v>
      </c>
      <c r="T752" s="36">
        <f t="shared" si="98"/>
        <v>628.13</v>
      </c>
    </row>
    <row r="753" spans="1:20">
      <c r="A753" s="37">
        <v>45950</v>
      </c>
      <c r="B753" s="38" t="s">
        <v>1128</v>
      </c>
      <c r="C753" s="38" t="s">
        <v>1129</v>
      </c>
      <c r="D753" s="38" t="s">
        <v>1130</v>
      </c>
      <c r="E753" s="38" t="s">
        <v>1574</v>
      </c>
      <c r="F753" s="38">
        <f t="shared" si="91"/>
        <v>2025</v>
      </c>
      <c r="G753" s="38" t="str">
        <f t="shared" si="92"/>
        <v>October</v>
      </c>
      <c r="H753" s="30">
        <v>260789</v>
      </c>
      <c r="I753" s="30">
        <v>14483</v>
      </c>
      <c r="J753" s="39">
        <v>2729</v>
      </c>
      <c r="K753" s="39">
        <v>1300</v>
      </c>
      <c r="L753" s="39">
        <v>685</v>
      </c>
      <c r="M753" s="40">
        <v>217576.56</v>
      </c>
      <c r="N753" s="40">
        <v>2824586.55</v>
      </c>
      <c r="O753" s="33">
        <f t="shared" si="95"/>
        <v>5.55</v>
      </c>
      <c r="P753" s="34">
        <f t="shared" si="93"/>
        <v>79.7275778673507</v>
      </c>
      <c r="Q753" s="35">
        <f t="shared" si="94"/>
        <v>12.982035151213</v>
      </c>
      <c r="R753" s="35">
        <f t="shared" si="96"/>
        <v>15.0228930470206</v>
      </c>
      <c r="S753" s="33">
        <f t="shared" si="97"/>
        <v>834.3</v>
      </c>
      <c r="T753" s="36">
        <f t="shared" si="98"/>
        <v>1198.2</v>
      </c>
    </row>
    <row r="754" spans="1:20">
      <c r="A754" s="28">
        <v>45951</v>
      </c>
      <c r="B754" s="29" t="s">
        <v>1128</v>
      </c>
      <c r="C754" s="29" t="s">
        <v>1129</v>
      </c>
      <c r="D754" s="29" t="s">
        <v>1130</v>
      </c>
      <c r="E754" s="29" t="s">
        <v>1574</v>
      </c>
      <c r="F754" s="29">
        <f t="shared" si="91"/>
        <v>2025</v>
      </c>
      <c r="G754" s="29" t="str">
        <f t="shared" si="92"/>
        <v>October</v>
      </c>
      <c r="H754" s="30">
        <v>134380</v>
      </c>
      <c r="I754" s="30">
        <v>6252</v>
      </c>
      <c r="J754" s="31">
        <v>1300</v>
      </c>
      <c r="K754" s="31">
        <v>685</v>
      </c>
      <c r="L754" s="31">
        <v>354</v>
      </c>
      <c r="M754" s="32">
        <v>132525.26</v>
      </c>
      <c r="N754" s="32">
        <v>2665107.49</v>
      </c>
      <c r="O754" s="33">
        <f t="shared" si="95"/>
        <v>4.65</v>
      </c>
      <c r="P754" s="34">
        <f t="shared" si="93"/>
        <v>101.942507692308</v>
      </c>
      <c r="Q754" s="35">
        <f t="shared" si="94"/>
        <v>20.1101849564377</v>
      </c>
      <c r="R754" s="35">
        <f t="shared" si="96"/>
        <v>21.1972584772873</v>
      </c>
      <c r="S754" s="33">
        <f t="shared" si="97"/>
        <v>986.2</v>
      </c>
      <c r="T754" s="36">
        <f t="shared" si="98"/>
        <v>1911.02</v>
      </c>
    </row>
    <row r="755" spans="1:20">
      <c r="A755" s="37">
        <v>45952</v>
      </c>
      <c r="B755" s="38" t="s">
        <v>1128</v>
      </c>
      <c r="C755" s="38" t="s">
        <v>1129</v>
      </c>
      <c r="D755" s="38" t="s">
        <v>1130</v>
      </c>
      <c r="E755" s="38" t="s">
        <v>1574</v>
      </c>
      <c r="F755" s="38">
        <f t="shared" si="91"/>
        <v>2025</v>
      </c>
      <c r="G755" s="38" t="str">
        <f t="shared" si="92"/>
        <v>October</v>
      </c>
      <c r="H755" s="30">
        <v>287916</v>
      </c>
      <c r="I755" s="30">
        <v>10349</v>
      </c>
      <c r="J755" s="39">
        <v>1738</v>
      </c>
      <c r="K755" s="39">
        <v>838</v>
      </c>
      <c r="L755" s="39">
        <v>398</v>
      </c>
      <c r="M755" s="40">
        <v>115613.02</v>
      </c>
      <c r="N755" s="40">
        <v>1867784.24</v>
      </c>
      <c r="O755" s="33">
        <f t="shared" si="95"/>
        <v>3.59</v>
      </c>
      <c r="P755" s="34">
        <f t="shared" si="93"/>
        <v>66.5207249712313</v>
      </c>
      <c r="Q755" s="35">
        <f t="shared" si="94"/>
        <v>16.1554835259904</v>
      </c>
      <c r="R755" s="35">
        <f t="shared" si="96"/>
        <v>11.1714194608175</v>
      </c>
      <c r="S755" s="33">
        <f t="shared" si="97"/>
        <v>401.55</v>
      </c>
      <c r="T755" s="36">
        <f t="shared" si="98"/>
        <v>1515.55</v>
      </c>
    </row>
    <row r="756" spans="1:20">
      <c r="A756" s="28">
        <v>45953</v>
      </c>
      <c r="B756" s="29" t="s">
        <v>1128</v>
      </c>
      <c r="C756" s="29" t="s">
        <v>1129</v>
      </c>
      <c r="D756" s="29" t="s">
        <v>1130</v>
      </c>
      <c r="E756" s="29" t="s">
        <v>1574</v>
      </c>
      <c r="F756" s="29">
        <f t="shared" si="91"/>
        <v>2025</v>
      </c>
      <c r="G756" s="29" t="str">
        <f t="shared" si="92"/>
        <v>October</v>
      </c>
      <c r="H756" s="30">
        <v>216575</v>
      </c>
      <c r="I756" s="30">
        <v>12444</v>
      </c>
      <c r="J756" s="31">
        <v>2477</v>
      </c>
      <c r="K756" s="31">
        <v>1587</v>
      </c>
      <c r="L756" s="31">
        <v>674</v>
      </c>
      <c r="M756" s="32">
        <v>147196.81</v>
      </c>
      <c r="N756" s="32">
        <v>4576963.63</v>
      </c>
      <c r="O756" s="33">
        <f t="shared" si="95"/>
        <v>5.75</v>
      </c>
      <c r="P756" s="34">
        <f t="shared" si="93"/>
        <v>59.4254380298748</v>
      </c>
      <c r="Q756" s="35">
        <f t="shared" si="94"/>
        <v>31.0941767691841</v>
      </c>
      <c r="R756" s="35">
        <f t="shared" si="96"/>
        <v>11.828737544198</v>
      </c>
      <c r="S756" s="33">
        <f t="shared" si="97"/>
        <v>679.66</v>
      </c>
      <c r="T756" s="36">
        <f t="shared" si="98"/>
        <v>3009.42</v>
      </c>
    </row>
    <row r="757" spans="1:20">
      <c r="A757" s="37">
        <v>45954</v>
      </c>
      <c r="B757" s="38" t="s">
        <v>1128</v>
      </c>
      <c r="C757" s="38" t="s">
        <v>1129</v>
      </c>
      <c r="D757" s="38" t="s">
        <v>1130</v>
      </c>
      <c r="E757" s="38" t="s">
        <v>1574</v>
      </c>
      <c r="F757" s="38">
        <f t="shared" si="91"/>
        <v>2025</v>
      </c>
      <c r="G757" s="38" t="str">
        <f t="shared" si="92"/>
        <v>October</v>
      </c>
      <c r="H757" s="30">
        <v>71172</v>
      </c>
      <c r="I757" s="30">
        <v>4222</v>
      </c>
      <c r="J757" s="39">
        <v>908</v>
      </c>
      <c r="K757" s="39">
        <v>490</v>
      </c>
      <c r="L757" s="39">
        <v>236</v>
      </c>
      <c r="M757" s="40">
        <v>46274.85</v>
      </c>
      <c r="N757" s="40">
        <v>1760206.67</v>
      </c>
      <c r="O757" s="33">
        <f t="shared" si="95"/>
        <v>5.93</v>
      </c>
      <c r="P757" s="34">
        <f t="shared" si="93"/>
        <v>50.9634911894273</v>
      </c>
      <c r="Q757" s="35">
        <f t="shared" si="94"/>
        <v>38.0380848344187</v>
      </c>
      <c r="R757" s="35">
        <f t="shared" si="96"/>
        <v>10.9604097584083</v>
      </c>
      <c r="S757" s="33">
        <f t="shared" si="97"/>
        <v>650.18</v>
      </c>
      <c r="T757" s="36">
        <f t="shared" si="98"/>
        <v>3703.81</v>
      </c>
    </row>
    <row r="758" spans="1:20">
      <c r="A758" s="28">
        <v>45955</v>
      </c>
      <c r="B758" s="29" t="s">
        <v>1128</v>
      </c>
      <c r="C758" s="29" t="s">
        <v>1129</v>
      </c>
      <c r="D758" s="29" t="s">
        <v>1130</v>
      </c>
      <c r="E758" s="29" t="s">
        <v>1574</v>
      </c>
      <c r="F758" s="29">
        <f t="shared" si="91"/>
        <v>2025</v>
      </c>
      <c r="G758" s="29" t="str">
        <f t="shared" si="92"/>
        <v>October</v>
      </c>
      <c r="H758" s="30">
        <v>198682</v>
      </c>
      <c r="I758" s="30">
        <v>8609</v>
      </c>
      <c r="J758" s="31">
        <v>1832</v>
      </c>
      <c r="K758" s="31">
        <v>1094</v>
      </c>
      <c r="L758" s="31">
        <v>574</v>
      </c>
      <c r="M758" s="32">
        <v>80603.11</v>
      </c>
      <c r="N758" s="32">
        <v>1777848.23</v>
      </c>
      <c r="O758" s="33">
        <f t="shared" si="95"/>
        <v>4.33</v>
      </c>
      <c r="P758" s="34">
        <f t="shared" si="93"/>
        <v>43.9973307860262</v>
      </c>
      <c r="Q758" s="35">
        <f t="shared" si="94"/>
        <v>22.0568192716137</v>
      </c>
      <c r="R758" s="35">
        <f t="shared" si="96"/>
        <v>9.36265652224416</v>
      </c>
      <c r="S758" s="33">
        <f t="shared" si="97"/>
        <v>405.69</v>
      </c>
      <c r="T758" s="36">
        <f t="shared" si="98"/>
        <v>2105.68</v>
      </c>
    </row>
    <row r="759" spans="1:20">
      <c r="A759" s="37">
        <v>45956</v>
      </c>
      <c r="B759" s="38" t="s">
        <v>1128</v>
      </c>
      <c r="C759" s="38" t="s">
        <v>1129</v>
      </c>
      <c r="D759" s="38" t="s">
        <v>1130</v>
      </c>
      <c r="E759" s="38" t="s">
        <v>1574</v>
      </c>
      <c r="F759" s="38">
        <f t="shared" si="91"/>
        <v>2025</v>
      </c>
      <c r="G759" s="38" t="str">
        <f t="shared" si="92"/>
        <v>October</v>
      </c>
      <c r="H759" s="30">
        <v>87021</v>
      </c>
      <c r="I759" s="30">
        <v>6502</v>
      </c>
      <c r="J759" s="39">
        <v>1617</v>
      </c>
      <c r="K759" s="39">
        <v>998</v>
      </c>
      <c r="L759" s="39">
        <v>494</v>
      </c>
      <c r="M759" s="40">
        <v>46482.66</v>
      </c>
      <c r="N759" s="40">
        <v>2244803.69</v>
      </c>
      <c r="O759" s="33">
        <f t="shared" si="95"/>
        <v>7.47</v>
      </c>
      <c r="P759" s="34">
        <f t="shared" si="93"/>
        <v>28.7462337662338</v>
      </c>
      <c r="Q759" s="35">
        <f t="shared" si="94"/>
        <v>48.2933569206237</v>
      </c>
      <c r="R759" s="35">
        <f t="shared" si="96"/>
        <v>7.1489787757613</v>
      </c>
      <c r="S759" s="33">
        <f t="shared" si="97"/>
        <v>534.15</v>
      </c>
      <c r="T759" s="36">
        <f t="shared" si="98"/>
        <v>4729.34</v>
      </c>
    </row>
    <row r="760" spans="1:20">
      <c r="A760" s="28">
        <v>45957</v>
      </c>
      <c r="B760" s="29" t="s">
        <v>1128</v>
      </c>
      <c r="C760" s="29" t="s">
        <v>1129</v>
      </c>
      <c r="D760" s="29" t="s">
        <v>1130</v>
      </c>
      <c r="E760" s="29" t="s">
        <v>1574</v>
      </c>
      <c r="F760" s="29">
        <f t="shared" si="91"/>
        <v>2025</v>
      </c>
      <c r="G760" s="29" t="str">
        <f t="shared" si="92"/>
        <v>October</v>
      </c>
      <c r="H760" s="30">
        <v>277676</v>
      </c>
      <c r="I760" s="30">
        <v>18342</v>
      </c>
      <c r="J760" s="31">
        <v>3757</v>
      </c>
      <c r="K760" s="31">
        <v>2032</v>
      </c>
      <c r="L760" s="31">
        <v>1017</v>
      </c>
      <c r="M760" s="32">
        <v>242232.32</v>
      </c>
      <c r="N760" s="32">
        <v>5399981.27</v>
      </c>
      <c r="O760" s="33">
        <f t="shared" si="95"/>
        <v>6.61</v>
      </c>
      <c r="P760" s="34">
        <f t="shared" si="93"/>
        <v>64.4749321266968</v>
      </c>
      <c r="Q760" s="35">
        <f t="shared" si="94"/>
        <v>22.2925713216139</v>
      </c>
      <c r="R760" s="35">
        <f t="shared" si="96"/>
        <v>13.2064289608549</v>
      </c>
      <c r="S760" s="33">
        <f t="shared" si="97"/>
        <v>872.36</v>
      </c>
      <c r="T760" s="36">
        <f t="shared" si="98"/>
        <v>2129.26</v>
      </c>
    </row>
    <row r="761" spans="1:20">
      <c r="A761" s="37">
        <v>45958</v>
      </c>
      <c r="B761" s="38" t="s">
        <v>1128</v>
      </c>
      <c r="C761" s="38" t="s">
        <v>1129</v>
      </c>
      <c r="D761" s="38" t="s">
        <v>1130</v>
      </c>
      <c r="E761" s="38" t="s">
        <v>1574</v>
      </c>
      <c r="F761" s="38">
        <f t="shared" si="91"/>
        <v>2025</v>
      </c>
      <c r="G761" s="38" t="str">
        <f t="shared" si="92"/>
        <v>October</v>
      </c>
      <c r="H761" s="30">
        <v>132019</v>
      </c>
      <c r="I761" s="30">
        <v>9429</v>
      </c>
      <c r="J761" s="39">
        <v>2004</v>
      </c>
      <c r="K761" s="39">
        <v>1029</v>
      </c>
      <c r="L761" s="39">
        <v>542</v>
      </c>
      <c r="M761" s="40">
        <v>129503.53</v>
      </c>
      <c r="N761" s="40">
        <v>3403497</v>
      </c>
      <c r="O761" s="33">
        <f t="shared" si="95"/>
        <v>7.14</v>
      </c>
      <c r="P761" s="34">
        <f t="shared" si="93"/>
        <v>64.6225199600798</v>
      </c>
      <c r="Q761" s="35">
        <f t="shared" si="94"/>
        <v>26.2811137271702</v>
      </c>
      <c r="R761" s="35">
        <f t="shared" si="96"/>
        <v>13.7345985788525</v>
      </c>
      <c r="S761" s="33">
        <f t="shared" si="97"/>
        <v>980.95</v>
      </c>
      <c r="T761" s="36">
        <f t="shared" si="98"/>
        <v>2528.11</v>
      </c>
    </row>
    <row r="762" spans="1:20">
      <c r="A762" s="28">
        <v>45959</v>
      </c>
      <c r="B762" s="29" t="s">
        <v>1128</v>
      </c>
      <c r="C762" s="29" t="s">
        <v>1129</v>
      </c>
      <c r="D762" s="29" t="s">
        <v>1130</v>
      </c>
      <c r="E762" s="29" t="s">
        <v>1574</v>
      </c>
      <c r="F762" s="29">
        <f t="shared" si="91"/>
        <v>2025</v>
      </c>
      <c r="G762" s="29" t="str">
        <f t="shared" si="92"/>
        <v>October</v>
      </c>
      <c r="H762" s="30">
        <v>89527</v>
      </c>
      <c r="I762" s="30">
        <v>5616</v>
      </c>
      <c r="J762" s="31">
        <v>865</v>
      </c>
      <c r="K762" s="31">
        <v>507</v>
      </c>
      <c r="L762" s="31">
        <v>215</v>
      </c>
      <c r="M762" s="32">
        <v>79011.86</v>
      </c>
      <c r="N762" s="32">
        <v>1224216.24</v>
      </c>
      <c r="O762" s="33">
        <f t="shared" si="95"/>
        <v>6.27</v>
      </c>
      <c r="P762" s="34">
        <f t="shared" si="93"/>
        <v>91.3431907514451</v>
      </c>
      <c r="Q762" s="35">
        <f t="shared" si="94"/>
        <v>15.4940820276855</v>
      </c>
      <c r="R762" s="35">
        <f t="shared" si="96"/>
        <v>14.0690633903134</v>
      </c>
      <c r="S762" s="33">
        <f t="shared" si="97"/>
        <v>882.55</v>
      </c>
      <c r="T762" s="36">
        <f t="shared" si="98"/>
        <v>1449.41</v>
      </c>
    </row>
    <row r="763" spans="1:20">
      <c r="A763" s="37">
        <v>45960</v>
      </c>
      <c r="B763" s="38" t="s">
        <v>1128</v>
      </c>
      <c r="C763" s="38" t="s">
        <v>1129</v>
      </c>
      <c r="D763" s="38" t="s">
        <v>1130</v>
      </c>
      <c r="E763" s="38" t="s">
        <v>1574</v>
      </c>
      <c r="F763" s="38">
        <f t="shared" si="91"/>
        <v>2025</v>
      </c>
      <c r="G763" s="38" t="str">
        <f t="shared" si="92"/>
        <v>October</v>
      </c>
      <c r="H763" s="30">
        <v>232419</v>
      </c>
      <c r="I763" s="30">
        <v>17670</v>
      </c>
      <c r="J763" s="39">
        <v>3031</v>
      </c>
      <c r="K763" s="39">
        <v>1638</v>
      </c>
      <c r="L763" s="39">
        <v>975</v>
      </c>
      <c r="M763" s="40">
        <v>200506.15</v>
      </c>
      <c r="N763" s="40">
        <v>7007981.3</v>
      </c>
      <c r="O763" s="33">
        <f t="shared" si="95"/>
        <v>7.6</v>
      </c>
      <c r="P763" s="34">
        <f t="shared" si="93"/>
        <v>66.151814582646</v>
      </c>
      <c r="Q763" s="35">
        <f t="shared" si="94"/>
        <v>34.9514531100418</v>
      </c>
      <c r="R763" s="35">
        <f t="shared" si="96"/>
        <v>11.3472637238257</v>
      </c>
      <c r="S763" s="33">
        <f t="shared" si="97"/>
        <v>862.69</v>
      </c>
      <c r="T763" s="36">
        <f t="shared" si="98"/>
        <v>3395.15</v>
      </c>
    </row>
    <row r="764" ht="15.15" spans="1:20">
      <c r="A764" s="41">
        <v>45961</v>
      </c>
      <c r="B764" s="42" t="s">
        <v>1128</v>
      </c>
      <c r="C764" s="42" t="s">
        <v>1129</v>
      </c>
      <c r="D764" s="42" t="s">
        <v>1130</v>
      </c>
      <c r="E764" s="42" t="s">
        <v>1574</v>
      </c>
      <c r="F764" s="42">
        <f t="shared" si="91"/>
        <v>2025</v>
      </c>
      <c r="G764" s="42" t="str">
        <f t="shared" si="92"/>
        <v>October</v>
      </c>
      <c r="H764" s="43">
        <v>267804</v>
      </c>
      <c r="I764" s="43">
        <v>19472</v>
      </c>
      <c r="J764" s="44">
        <v>4863</v>
      </c>
      <c r="K764" s="44">
        <v>2431</v>
      </c>
      <c r="L764" s="44">
        <v>1100</v>
      </c>
      <c r="M764" s="45">
        <v>251059.32</v>
      </c>
      <c r="N764" s="45">
        <v>6675311.68</v>
      </c>
      <c r="O764" s="33">
        <f t="shared" si="95"/>
        <v>7.27</v>
      </c>
      <c r="P764" s="34">
        <f t="shared" si="93"/>
        <v>51.6264281307835</v>
      </c>
      <c r="Q764" s="35">
        <f t="shared" si="94"/>
        <v>26.5885834471311</v>
      </c>
      <c r="R764" s="35">
        <f t="shared" si="96"/>
        <v>12.893350451931</v>
      </c>
      <c r="S764" s="33">
        <f t="shared" si="97"/>
        <v>937.47</v>
      </c>
      <c r="T764" s="36">
        <f t="shared" si="98"/>
        <v>2558.86</v>
      </c>
    </row>
    <row r="765" ht="15.1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11" sqref="D11"/>
    </sheetView>
  </sheetViews>
  <sheetFormatPr defaultColWidth="8.88888888888889" defaultRowHeight="14.4" outlineLevelRow="6"/>
  <cols>
    <col min="4" max="4" width="20.5555555555556" customWidth="1"/>
  </cols>
  <sheetData>
    <row r="1" spans="1:10">
      <c r="A1" s="7" t="s">
        <v>1575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8" t="s">
        <v>1576</v>
      </c>
      <c r="B2" s="8" t="s">
        <v>1577</v>
      </c>
      <c r="C2" s="8" t="s">
        <v>1578</v>
      </c>
      <c r="D2" s="8" t="s">
        <v>1579</v>
      </c>
    </row>
    <row r="3" spans="1:10">
      <c r="A3" s="11" t="s">
        <v>146</v>
      </c>
      <c r="B3" s="12">
        <v>80</v>
      </c>
      <c r="C3" s="12">
        <v>12</v>
      </c>
      <c r="D3" s="16" t="s">
        <v>1580</v>
      </c>
    </row>
    <row r="4" spans="1:10">
      <c r="A4" s="17" t="s">
        <v>1130</v>
      </c>
      <c r="B4" s="18">
        <v>70</v>
      </c>
      <c r="C4" s="18">
        <v>10</v>
      </c>
      <c r="D4" s="22" t="s">
        <v>1581</v>
      </c>
    </row>
    <row r="5" spans="1:10">
      <c r="A5" s="11" t="s">
        <v>887</v>
      </c>
      <c r="B5" s="12">
        <v>120</v>
      </c>
      <c r="C5" s="12">
        <v>20</v>
      </c>
      <c r="D5" s="16" t="s">
        <v>1582</v>
      </c>
    </row>
    <row r="6" spans="1:10">
      <c r="A6" s="17" t="s">
        <v>15</v>
      </c>
      <c r="B6" s="18">
        <v>90</v>
      </c>
      <c r="C6" s="18">
        <v>15</v>
      </c>
      <c r="D6" s="22" t="s">
        <v>1583</v>
      </c>
    </row>
    <row r="7" spans="1:10">
      <c r="A7" s="11" t="s">
        <v>518</v>
      </c>
      <c r="B7" s="12">
        <v>60</v>
      </c>
      <c r="C7" s="12">
        <v>9</v>
      </c>
      <c r="D7" s="16" t="s">
        <v>1584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2" sqref="E2"/>
    </sheetView>
  </sheetViews>
  <sheetFormatPr defaultColWidth="8.88888888888889" defaultRowHeight="14.4" outlineLevelRow="6"/>
  <cols>
    <col min="4" max="5" width="11.1111111111111" customWidth="1"/>
    <col min="6" max="6" width="23" customWidth="1"/>
    <col min="7" max="7" width="13.5555555555556" customWidth="1"/>
    <col min="8" max="8" width="9.22222222222222" customWidth="1"/>
    <col min="9" max="9" width="10.8888888888889" customWidth="1"/>
    <col min="10" max="10" width="16" customWidth="1"/>
  </cols>
  <sheetData>
    <row r="1" spans="1:10">
      <c r="A1" s="7" t="s">
        <v>1585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8" t="s">
        <v>1</v>
      </c>
      <c r="B2" s="8" t="s">
        <v>1586</v>
      </c>
      <c r="C2" s="8" t="s">
        <v>1587</v>
      </c>
      <c r="D2" s="9" t="s">
        <v>1588</v>
      </c>
      <c r="E2" s="10" t="s">
        <v>1589</v>
      </c>
      <c r="F2" s="8" t="s">
        <v>1590</v>
      </c>
      <c r="G2" s="8" t="s">
        <v>1591</v>
      </c>
      <c r="H2" s="8" t="s">
        <v>1592</v>
      </c>
      <c r="I2" s="8" t="s">
        <v>1576</v>
      </c>
      <c r="J2" s="8" t="s">
        <v>1593</v>
      </c>
    </row>
    <row r="3" spans="1:10">
      <c r="A3" s="11" t="s">
        <v>144</v>
      </c>
      <c r="B3" s="12" t="s">
        <v>1594</v>
      </c>
      <c r="C3" s="13">
        <v>45352</v>
      </c>
      <c r="D3" s="14">
        <v>45535</v>
      </c>
      <c r="E3" s="15">
        <v>1800000</v>
      </c>
      <c r="F3" s="12" t="s">
        <v>1595</v>
      </c>
      <c r="G3" s="12" t="s">
        <v>1596</v>
      </c>
      <c r="H3" s="12" t="s">
        <v>1597</v>
      </c>
      <c r="I3" s="12" t="s">
        <v>146</v>
      </c>
      <c r="J3" s="16" t="s">
        <v>1598</v>
      </c>
    </row>
    <row r="4" spans="1:10">
      <c r="A4" s="17" t="s">
        <v>1128</v>
      </c>
      <c r="B4" s="18" t="s">
        <v>1599</v>
      </c>
      <c r="C4" s="19">
        <v>45778</v>
      </c>
      <c r="D4" s="20">
        <v>45961</v>
      </c>
      <c r="E4" s="21">
        <v>1500000</v>
      </c>
      <c r="F4" s="18" t="s">
        <v>1600</v>
      </c>
      <c r="G4" s="18" t="s">
        <v>1601</v>
      </c>
      <c r="H4" s="18" t="s">
        <v>1602</v>
      </c>
      <c r="I4" s="18" t="s">
        <v>1130</v>
      </c>
      <c r="J4" s="22" t="s">
        <v>1603</v>
      </c>
    </row>
    <row r="5" spans="1:10">
      <c r="A5" s="11" t="s">
        <v>885</v>
      </c>
      <c r="B5" s="12" t="s">
        <v>1604</v>
      </c>
      <c r="C5" s="13">
        <v>45658</v>
      </c>
      <c r="D5" s="14">
        <v>45808</v>
      </c>
      <c r="E5" s="15">
        <v>1000000</v>
      </c>
      <c r="F5" s="12" t="s">
        <v>1605</v>
      </c>
      <c r="G5" s="12" t="s">
        <v>1606</v>
      </c>
      <c r="H5" s="12" t="s">
        <v>1607</v>
      </c>
      <c r="I5" s="12" t="s">
        <v>887</v>
      </c>
      <c r="J5" s="16" t="s">
        <v>1608</v>
      </c>
    </row>
    <row r="6" spans="1:10">
      <c r="A6" s="17" t="s">
        <v>13</v>
      </c>
      <c r="B6" s="18" t="s">
        <v>1609</v>
      </c>
      <c r="C6" s="19">
        <v>45292</v>
      </c>
      <c r="D6" s="20">
        <v>45382</v>
      </c>
      <c r="E6" s="21">
        <v>800000</v>
      </c>
      <c r="F6" s="18" t="s">
        <v>1610</v>
      </c>
      <c r="G6" s="18" t="s">
        <v>1601</v>
      </c>
      <c r="H6" s="18" t="s">
        <v>1611</v>
      </c>
      <c r="I6" s="18" t="s">
        <v>15</v>
      </c>
      <c r="J6" s="22" t="s">
        <v>1612</v>
      </c>
    </row>
    <row r="7" spans="1:10">
      <c r="A7" s="11" t="s">
        <v>516</v>
      </c>
      <c r="B7" s="12" t="s">
        <v>1613</v>
      </c>
      <c r="C7" s="13">
        <v>45505</v>
      </c>
      <c r="D7" s="14">
        <v>45657</v>
      </c>
      <c r="E7" s="15">
        <v>1200000</v>
      </c>
      <c r="F7" s="12" t="s">
        <v>1614</v>
      </c>
      <c r="G7" s="12" t="s">
        <v>1615</v>
      </c>
      <c r="H7" s="12" t="s">
        <v>1616</v>
      </c>
      <c r="I7" s="12" t="s">
        <v>518</v>
      </c>
      <c r="J7" s="16" t="s">
        <v>1598</v>
      </c>
    </row>
  </sheetData>
  <mergeCells count="1">
    <mergeCell ref="A1:J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topLeftCell="A32" workbookViewId="0">
      <selection activeCell="E50" sqref="E50"/>
    </sheetView>
  </sheetViews>
  <sheetFormatPr defaultColWidth="8.88888888888889" defaultRowHeight="14.4"/>
  <cols>
    <col min="1" max="1" width="16.1111111111111" customWidth="1"/>
    <col min="3" max="3" width="11.8888888888889" customWidth="1"/>
    <col min="6" max="6" width="14.5555555555556" customWidth="1"/>
    <col min="9" max="9" width="37" customWidth="1"/>
  </cols>
  <sheetData>
    <row r="1" spans="1:16">
      <c r="A1" s="1" t="s">
        <v>1617</v>
      </c>
      <c r="B1" s="1" t="s">
        <v>1618</v>
      </c>
      <c r="C1" s="1" t="s">
        <v>1619</v>
      </c>
      <c r="D1" s="2" t="s">
        <v>1620</v>
      </c>
      <c r="E1" s="1" t="s">
        <v>1621</v>
      </c>
      <c r="F1" s="2" t="s">
        <v>1622</v>
      </c>
    </row>
    <row r="2" ht="18" spans="1:16">
      <c r="A2" s="3" t="s">
        <v>1623</v>
      </c>
      <c r="B2" s="3" t="s">
        <v>1624</v>
      </c>
      <c r="C2" s="3" t="s">
        <v>1625</v>
      </c>
      <c r="D2" s="4">
        <v>35000</v>
      </c>
      <c r="E2" s="3" t="s">
        <v>1626</v>
      </c>
      <c r="F2" s="4">
        <v>2</v>
      </c>
      <c r="I2" s="5" t="s">
        <v>1627</v>
      </c>
    </row>
    <row r="3" ht="18" spans="1:16">
      <c r="A3" s="3" t="s">
        <v>1628</v>
      </c>
      <c r="B3" s="3" t="s">
        <v>1597</v>
      </c>
      <c r="C3" s="3" t="s">
        <v>1629</v>
      </c>
      <c r="D3" s="4">
        <v>42000</v>
      </c>
      <c r="E3" s="3" t="s">
        <v>1630</v>
      </c>
      <c r="F3" s="4">
        <v>3</v>
      </c>
      <c r="O3" s="5" t="s">
        <v>1631</v>
      </c>
    </row>
    <row r="4" spans="1:16">
      <c r="A4" s="3" t="s">
        <v>1632</v>
      </c>
      <c r="B4" s="3" t="s">
        <v>1633</v>
      </c>
      <c r="C4" s="3" t="s">
        <v>1634</v>
      </c>
      <c r="D4" s="4">
        <v>50000</v>
      </c>
      <c r="E4" s="3" t="s">
        <v>1635</v>
      </c>
      <c r="F4" s="4">
        <v>5</v>
      </c>
      <c r="I4" t="s">
        <v>1636</v>
      </c>
    </row>
    <row r="5" spans="1:16">
      <c r="A5" s="3" t="s">
        <v>1637</v>
      </c>
      <c r="B5" s="3" t="s">
        <v>1638</v>
      </c>
      <c r="C5" s="3" t="s">
        <v>1639</v>
      </c>
      <c r="D5" s="4">
        <v>55000</v>
      </c>
      <c r="E5" s="3" t="s">
        <v>1626</v>
      </c>
      <c r="F5" s="4">
        <v>4</v>
      </c>
      <c r="I5" t="s">
        <v>1637</v>
      </c>
      <c r="J5" t="str">
        <f>_xlfn.XLOOKUP(I5,A2:A11,B2:B11)</f>
        <v>Sneha</v>
      </c>
      <c r="O5" t="s">
        <v>1640</v>
      </c>
    </row>
    <row r="6" ht="28.8" spans="1:16">
      <c r="A6" s="3" t="s">
        <v>1641</v>
      </c>
      <c r="B6" s="3" t="s">
        <v>1611</v>
      </c>
      <c r="C6" s="3" t="s">
        <v>1642</v>
      </c>
      <c r="D6" s="4">
        <v>38000</v>
      </c>
      <c r="E6" s="3" t="s">
        <v>1643</v>
      </c>
      <c r="F6" s="4">
        <v>2</v>
      </c>
      <c r="I6" s="5" t="s">
        <v>1644</v>
      </c>
      <c r="O6" t="s">
        <v>1645</v>
      </c>
      <c r="P6" t="str">
        <f>_xlfn.XLOOKUP(O6,B2:B11,A2:A11,)</f>
        <v>E104</v>
      </c>
    </row>
    <row r="7" ht="18" spans="1:16">
      <c r="A7" s="3" t="s">
        <v>1646</v>
      </c>
      <c r="B7" s="3" t="s">
        <v>1647</v>
      </c>
      <c r="C7" s="3" t="s">
        <v>1625</v>
      </c>
      <c r="D7" s="4">
        <v>47000</v>
      </c>
      <c r="E7" s="3" t="s">
        <v>1630</v>
      </c>
      <c r="F7" s="4">
        <v>4</v>
      </c>
      <c r="O7" s="5" t="s">
        <v>1648</v>
      </c>
    </row>
    <row r="8" spans="1:16">
      <c r="A8" s="3" t="s">
        <v>1649</v>
      </c>
      <c r="B8" s="3" t="s">
        <v>1650</v>
      </c>
      <c r="C8" s="3" t="s">
        <v>1639</v>
      </c>
      <c r="D8" s="4">
        <v>62000</v>
      </c>
      <c r="E8" s="3" t="s">
        <v>1635</v>
      </c>
      <c r="F8" s="4">
        <v>6</v>
      </c>
      <c r="I8" t="s">
        <v>1651</v>
      </c>
    </row>
    <row r="9" spans="1:16">
      <c r="A9" s="3" t="s">
        <v>1652</v>
      </c>
      <c r="B9" s="3" t="s">
        <v>1653</v>
      </c>
      <c r="C9" s="3" t="s">
        <v>1629</v>
      </c>
      <c r="D9" s="4">
        <v>45000</v>
      </c>
      <c r="E9" s="3" t="s">
        <v>1626</v>
      </c>
      <c r="F9" s="4">
        <v>3</v>
      </c>
      <c r="I9" t="s">
        <v>1649</v>
      </c>
      <c r="J9" t="str">
        <f>_xlfn.XLOOKUP(I9,A2:A11,B2:B11)</f>
        <v>Rohan</v>
      </c>
      <c r="O9" t="s">
        <v>1654</v>
      </c>
    </row>
    <row r="10" ht="18" spans="1:16">
      <c r="A10" s="3" t="s">
        <v>1655</v>
      </c>
      <c r="B10" s="3" t="s">
        <v>1656</v>
      </c>
      <c r="C10" s="3" t="s">
        <v>1642</v>
      </c>
      <c r="D10" s="4">
        <v>41000</v>
      </c>
      <c r="E10" s="3" t="s">
        <v>1630</v>
      </c>
      <c r="F10" s="4">
        <v>4</v>
      </c>
      <c r="I10" s="5" t="s">
        <v>1657</v>
      </c>
      <c r="O10" t="s">
        <v>1658</v>
      </c>
      <c r="P10" t="str">
        <f>_xlfn.XLOOKUP(O10,B2:B11,A2:A11)</f>
        <v>E110</v>
      </c>
    </row>
    <row r="11" ht="18" spans="1:16">
      <c r="A11" s="3" t="s">
        <v>1659</v>
      </c>
      <c r="B11" s="3" t="s">
        <v>1660</v>
      </c>
      <c r="C11" s="3" t="s">
        <v>1634</v>
      </c>
      <c r="D11" s="4">
        <v>58000</v>
      </c>
      <c r="E11" s="3" t="s">
        <v>1626</v>
      </c>
      <c r="F11" s="4">
        <v>5</v>
      </c>
      <c r="O11" s="5" t="s">
        <v>1661</v>
      </c>
    </row>
    <row r="12" spans="1:16">
      <c r="I12" t="s">
        <v>1662</v>
      </c>
    </row>
    <row r="13" spans="1:16">
      <c r="I13" t="s">
        <v>1641</v>
      </c>
      <c r="J13" t="str">
        <f>_xlfn.XLOOKUP(I13,A2:A11,C2:C11)</f>
        <v>Sales</v>
      </c>
      <c r="O13" t="s">
        <v>1663</v>
      </c>
    </row>
    <row r="14" ht="18" spans="1:16">
      <c r="A14" s="5" t="s">
        <v>1664</v>
      </c>
      <c r="I14" s="5" t="s">
        <v>1665</v>
      </c>
      <c r="O14" t="s">
        <v>1666</v>
      </c>
      <c r="P14">
        <f>_xlfn.XLOOKUP(O14,B2:B11,D2:D11)</f>
        <v>45000</v>
      </c>
    </row>
    <row r="16" spans="1:16">
      <c r="A16" t="s">
        <v>1667</v>
      </c>
      <c r="I16" t="s">
        <v>1668</v>
      </c>
    </row>
    <row r="18" ht="18" spans="1:10">
      <c r="A18" t="s">
        <v>1669</v>
      </c>
      <c r="I18" s="5" t="s">
        <v>1628</v>
      </c>
      <c r="J18" t="str">
        <f>_xlfn.XLOOKUP(I18,A2:A11,E2:E11)</f>
        <v>Mumbai</v>
      </c>
    </row>
    <row r="19" spans="1:10">
      <c r="A19" t="s">
        <v>1670</v>
      </c>
      <c r="B19" t="str" cm="1">
        <f t="array" ref="B19">_xlfn.XLOOKUP(A19,A2:A11,B2:C11,"EMPLOYEE NOT FOUND")</f>
        <v>EMPLOYEE NOT FOUND</v>
      </c>
    </row>
    <row r="20" spans="1:10">
      <c r="A20" s="6" t="s">
        <v>1671</v>
      </c>
      <c r="I20" t="s">
        <v>1672</v>
      </c>
    </row>
    <row r="21" spans="1:10">
      <c r="I21" t="s">
        <v>1655</v>
      </c>
      <c r="J21">
        <f>_xlfn.XLOOKUP(I21,A2:A11,F2:F11)</f>
        <v>4</v>
      </c>
    </row>
    <row r="26" spans="1:10">
      <c r="H26" t="s">
        <v>1673</v>
      </c>
      <c r="I26" t="s">
        <v>1674</v>
      </c>
      <c r="J26" t="s">
        <v>1675</v>
      </c>
    </row>
    <row r="27" ht="18" spans="1:10">
      <c r="A27" s="5" t="s">
        <v>1676</v>
      </c>
      <c r="H27" t="s">
        <v>1677</v>
      </c>
      <c r="I27" t="str" cm="1">
        <f t="array" ref="I27:J27">_xlfn.XLOOKUP(H27,B2:B11,C2:D11)</f>
        <v>IT</v>
      </c>
      <c r="J27">
        <v>55000</v>
      </c>
    </row>
    <row r="29" spans="1:10">
      <c r="A29" t="s">
        <v>1678</v>
      </c>
    </row>
    <row r="30" spans="1:10">
      <c r="J30" t="s">
        <v>1679</v>
      </c>
    </row>
    <row r="31" spans="1:10">
      <c r="A31" s="6" t="s">
        <v>1680</v>
      </c>
    </row>
    <row r="33" spans="1:4">
      <c r="A33" t="s">
        <v>1681</v>
      </c>
    </row>
    <row r="35" spans="1:4">
      <c r="A35" s="6" t="s">
        <v>1682</v>
      </c>
    </row>
    <row r="37" spans="1:4">
      <c r="A37" t="s">
        <v>1683</v>
      </c>
    </row>
    <row r="39" spans="1:4">
      <c r="A39" s="6"/>
    </row>
    <row r="41" ht="28.8" spans="1:4">
      <c r="A41" s="1" t="s">
        <v>1617</v>
      </c>
      <c r="B41" s="1" t="s">
        <v>1618</v>
      </c>
      <c r="C41" s="2" t="s">
        <v>1684</v>
      </c>
      <c r="D41" s="2" t="s">
        <v>1685</v>
      </c>
    </row>
    <row r="42" spans="1:4">
      <c r="A42" s="3" t="s">
        <v>1623</v>
      </c>
      <c r="B42" s="3" t="s">
        <v>1624</v>
      </c>
      <c r="C42" s="4">
        <v>35000</v>
      </c>
      <c r="D42" s="2">
        <v>38000</v>
      </c>
    </row>
    <row r="43" ht="28.8" spans="1:4">
      <c r="A43" s="3" t="s">
        <v>1628</v>
      </c>
      <c r="B43" s="3" t="s">
        <v>1597</v>
      </c>
      <c r="C43" s="4">
        <v>42000</v>
      </c>
      <c r="D43" s="2" t="s">
        <v>1686</v>
      </c>
    </row>
    <row r="44" spans="1:4">
      <c r="A44" s="3" t="s">
        <v>1632</v>
      </c>
      <c r="B44" s="3" t="s">
        <v>1633</v>
      </c>
      <c r="C44" s="4">
        <v>50000</v>
      </c>
      <c r="D44" s="2">
        <v>53000</v>
      </c>
    </row>
    <row r="45" spans="1:4">
      <c r="A45" s="3" t="s">
        <v>1637</v>
      </c>
      <c r="B45" s="3" t="s">
        <v>1638</v>
      </c>
      <c r="C45" s="4">
        <v>55000</v>
      </c>
      <c r="D45" s="2">
        <v>60000</v>
      </c>
    </row>
    <row r="46" ht="28.8" spans="1:4">
      <c r="A46" s="3" t="s">
        <v>1641</v>
      </c>
      <c r="B46" s="3" t="s">
        <v>1611</v>
      </c>
      <c r="C46" s="4">
        <v>38000</v>
      </c>
      <c r="D46" s="2" t="s">
        <v>1686</v>
      </c>
    </row>
    <row r="47" spans="1:4">
      <c r="A47" s="3" t="s">
        <v>1649</v>
      </c>
      <c r="B47" s="3" t="s">
        <v>1650</v>
      </c>
      <c r="C47" s="4">
        <v>62000</v>
      </c>
      <c r="D47" s="2">
        <v>68000</v>
      </c>
    </row>
    <row r="49" ht="28.8" spans="1:2">
      <c r="A49" s="1" t="s">
        <v>1617</v>
      </c>
      <c r="B49" s="2" t="s">
        <v>1687</v>
      </c>
    </row>
    <row r="50" spans="1:2">
      <c r="A50" s="3" t="s">
        <v>1623</v>
      </c>
      <c r="B50" s="4">
        <v>38000</v>
      </c>
    </row>
    <row r="51" spans="1:2">
      <c r="A51" s="3" t="s">
        <v>1632</v>
      </c>
      <c r="B51" s="4">
        <v>53000</v>
      </c>
    </row>
    <row r="52" spans="1:2">
      <c r="A52" s="3" t="s">
        <v>1637</v>
      </c>
      <c r="B52" s="4">
        <v>60000</v>
      </c>
    </row>
    <row r="53" spans="1:2">
      <c r="A53" s="3" t="s">
        <v>1649</v>
      </c>
      <c r="B53" s="4">
        <v>68000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original data</vt:lpstr>
      <vt:lpstr>calacuation</vt:lpstr>
      <vt:lpstr>Camaign meta</vt:lpstr>
      <vt:lpstr>campaign performance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</cp:lastModifiedBy>
  <dcterms:created xsi:type="dcterms:W3CDTF">2025-11-09T16:51:00Z</dcterms:created>
  <dcterms:modified xsi:type="dcterms:W3CDTF">2026-09-01T12:35:33Z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A1237B8AAFAA4E6A8824564B1884AD6E_12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